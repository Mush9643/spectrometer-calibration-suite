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 defaultThemeVersion="124226"/>
  <xr:revisionPtr revIDLastSave="0" documentId="8_{17819E38-0BDA-4084-ADC8-CC02AA5F3404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Авто" sheetId="1" r:id="rId1"/>
    <sheet name="Пеш" sheetId="2" r:id="rId2"/>
    <sheet name="Лист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9" i="2" l="1"/>
  <c r="F28" i="2"/>
  <c r="E6" i="2"/>
  <c r="H6" i="2" s="1"/>
  <c r="F18" i="2"/>
  <c r="E10" i="2"/>
  <c r="E8" i="2"/>
  <c r="C6" i="2" l="1"/>
  <c r="H10" i="2" l="1"/>
  <c r="F17" i="2"/>
  <c r="H8" i="2" l="1"/>
  <c r="C8" i="2"/>
  <c r="F19" i="2" s="1"/>
  <c r="F20" i="2" s="1"/>
  <c r="C10" i="2"/>
  <c r="F30" i="2" s="1"/>
  <c r="F31" i="2" s="1"/>
  <c r="T5" i="1"/>
  <c r="C49" i="1" l="1"/>
  <c r="C48" i="1"/>
  <c r="C12" i="1"/>
  <c r="C11" i="1"/>
  <c r="Q6" i="1"/>
  <c r="T7" i="1" s="1"/>
  <c r="O5" i="1"/>
  <c r="T3" i="1"/>
  <c r="O3" i="1"/>
  <c r="F11" i="1" l="1"/>
  <c r="C21" i="1" s="1"/>
  <c r="F48" i="1"/>
  <c r="O7" i="1"/>
  <c r="I21" i="1" l="1"/>
  <c r="G21" i="1"/>
  <c r="E21" i="1"/>
  <c r="F12" i="1"/>
  <c r="F49" i="1"/>
  <c r="E58" i="1"/>
  <c r="G58" i="1"/>
  <c r="I58" i="1"/>
  <c r="C58" i="1"/>
  <c r="I68" i="1"/>
  <c r="G68" i="1"/>
  <c r="E68" i="1"/>
  <c r="C68" i="1"/>
  <c r="I56" i="1"/>
  <c r="G56" i="1"/>
  <c r="E56" i="1"/>
  <c r="C56" i="1"/>
  <c r="I31" i="1"/>
  <c r="G31" i="1"/>
  <c r="E31" i="1"/>
  <c r="C31" i="1"/>
  <c r="I19" i="1"/>
  <c r="I22" i="1" s="1"/>
  <c r="G19" i="1"/>
  <c r="E19" i="1"/>
  <c r="C19" i="1"/>
  <c r="C22" i="1" s="1"/>
  <c r="G59" i="1" l="1"/>
  <c r="G22" i="1"/>
  <c r="E22" i="1"/>
  <c r="C59" i="1"/>
  <c r="I59" i="1"/>
  <c r="E59" i="1"/>
  <c r="E70" i="1"/>
  <c r="E71" i="1" s="1"/>
  <c r="G70" i="1"/>
  <c r="G71" i="1" s="1"/>
  <c r="I70" i="1"/>
  <c r="I71" i="1" s="1"/>
  <c r="C70" i="1"/>
  <c r="C71" i="1" s="1"/>
  <c r="G33" i="1"/>
  <c r="G34" i="1" s="1"/>
  <c r="I33" i="1"/>
  <c r="I34" i="1" s="1"/>
  <c r="C33" i="1"/>
  <c r="C34" i="1" s="1"/>
  <c r="E33" i="1"/>
  <c r="E34" i="1" s="1"/>
</calcChain>
</file>

<file path=xl/sharedStrings.xml><?xml version="1.0" encoding="utf-8"?>
<sst xmlns="http://schemas.openxmlformats.org/spreadsheetml/2006/main" count="217" uniqueCount="71">
  <si>
    <t xml:space="preserve">Проверка чувствительности регистрации гамма и нейтронного </t>
  </si>
  <si>
    <t>Изотоп</t>
  </si>
  <si>
    <t>Номер источника</t>
  </si>
  <si>
    <t xml:space="preserve">Активность,
кБк, n/c </t>
  </si>
  <si>
    <t>Дата изготовления</t>
  </si>
  <si>
    <r>
      <t>137</t>
    </r>
    <r>
      <rPr>
        <sz val="10"/>
        <color theme="1"/>
        <rFont val="Times New Roman"/>
        <family val="1"/>
        <charset val="204"/>
      </rPr>
      <t>Cs</t>
    </r>
  </si>
  <si>
    <t>001 01.2019</t>
  </si>
  <si>
    <r>
      <t>252</t>
    </r>
    <r>
      <rPr>
        <sz val="10"/>
        <color theme="1"/>
        <rFont val="Times New Roman"/>
        <family val="1"/>
        <charset val="204"/>
      </rPr>
      <t>Cf</t>
    </r>
  </si>
  <si>
    <t>03/19</t>
  </si>
  <si>
    <t>2. Проверка чувствительности регистрации гамма излучения.</t>
  </si>
  <si>
    <t>БДГ1</t>
  </si>
  <si>
    <t>БДГ2</t>
  </si>
  <si>
    <t>БДГ3</t>
  </si>
  <si>
    <t>БДГ4</t>
  </si>
  <si>
    <t>Фон</t>
  </si>
  <si>
    <t>Источник</t>
  </si>
  <si>
    <t>Значения скорости счета, имп/100 с.</t>
  </si>
  <si>
    <t>Приращение, имп/сек.</t>
  </si>
  <si>
    <r>
      <t>137</t>
    </r>
    <r>
      <rPr>
        <b/>
        <sz val="12"/>
        <rFont val="Times New Roman"/>
        <family val="1"/>
        <charset val="204"/>
      </rPr>
      <t>Cs</t>
    </r>
  </si>
  <si>
    <t>Активность источника, Мбк.</t>
  </si>
  <si>
    <t>Чувствительность</t>
  </si>
  <si>
    <t>Допустимая чувствительность</t>
  </si>
  <si>
    <t>Не менее 770</t>
  </si>
  <si>
    <t>3. Проверка чувствительности регистрации нейтронного излучения.</t>
  </si>
  <si>
    <t>БДН1</t>
  </si>
  <si>
    <t>БДН2</t>
  </si>
  <si>
    <t>БДН3</t>
  </si>
  <si>
    <t>БДН4</t>
  </si>
  <si>
    <t>Значения скорости счета, имп/с.</t>
  </si>
  <si>
    <r>
      <t>252</t>
    </r>
    <r>
      <rPr>
        <b/>
        <sz val="12"/>
        <rFont val="Times New Roman"/>
        <family val="1"/>
        <charset val="204"/>
      </rPr>
      <t>Cf</t>
    </r>
  </si>
  <si>
    <t>Поток нейтронов от источника (н/с)</t>
  </si>
  <si>
    <r>
      <t>Чувствительность*10</t>
    </r>
    <r>
      <rPr>
        <vertAlign val="superscript"/>
        <sz val="10"/>
        <rFont val="Times New Roman"/>
        <family val="1"/>
        <charset val="204"/>
      </rPr>
      <t>4</t>
    </r>
  </si>
  <si>
    <r>
      <t>Допустимая чувствительность*10</t>
    </r>
    <r>
      <rPr>
        <vertAlign val="superscript"/>
        <sz val="10"/>
        <rFont val="Times New Roman"/>
        <family val="1"/>
        <charset val="204"/>
      </rPr>
      <t>4</t>
    </r>
  </si>
  <si>
    <t>Не менее 10</t>
  </si>
  <si>
    <r>
      <t>57</t>
    </r>
    <r>
      <rPr>
        <sz val="12"/>
        <color theme="1"/>
        <rFont val="Times New Roman"/>
        <family val="1"/>
        <charset val="204"/>
      </rPr>
      <t>Co</t>
    </r>
  </si>
  <si>
    <r>
      <t>A</t>
    </r>
    <r>
      <rPr>
        <vertAlign val="subscript"/>
        <sz val="10"/>
        <color indexed="8"/>
        <rFont val="Arial"/>
        <family val="2"/>
        <charset val="204"/>
      </rPr>
      <t>0</t>
    </r>
    <r>
      <rPr>
        <sz val="10"/>
        <color indexed="8"/>
        <rFont val="Arial"/>
        <family val="2"/>
        <charset val="204"/>
      </rPr>
      <t>=</t>
    </r>
  </si>
  <si>
    <t>кБк</t>
  </si>
  <si>
    <r>
      <t>Т</t>
    </r>
    <r>
      <rPr>
        <vertAlign val="subscript"/>
        <sz val="11"/>
        <color theme="1"/>
        <rFont val="Times New Roman"/>
        <family val="1"/>
        <charset val="204"/>
      </rPr>
      <t>1/2</t>
    </r>
  </si>
  <si>
    <t>A =</t>
  </si>
  <si>
    <t>суток</t>
  </si>
  <si>
    <t>лет прошло</t>
  </si>
  <si>
    <r>
      <t>137</t>
    </r>
    <r>
      <rPr>
        <sz val="12"/>
        <color theme="1"/>
        <rFont val="Times New Roman"/>
        <family val="1"/>
        <charset val="204"/>
      </rPr>
      <t>Cs</t>
    </r>
  </si>
  <si>
    <r>
      <t>252</t>
    </r>
    <r>
      <rPr>
        <sz val="12"/>
        <color theme="1"/>
        <rFont val="Times New Roman"/>
        <family val="1"/>
        <charset val="204"/>
      </rPr>
      <t>Cf</t>
    </r>
  </si>
  <si>
    <r>
      <t>Ф</t>
    </r>
    <r>
      <rPr>
        <vertAlign val="subscript"/>
        <sz val="10"/>
        <color indexed="8"/>
        <rFont val="Arial"/>
        <family val="2"/>
        <charset val="204"/>
      </rPr>
      <t>0</t>
    </r>
    <r>
      <rPr>
        <sz val="10"/>
        <color indexed="8"/>
        <rFont val="Arial"/>
        <family val="2"/>
        <charset val="204"/>
      </rPr>
      <t>=</t>
    </r>
  </si>
  <si>
    <r>
      <t>c</t>
    </r>
    <r>
      <rPr>
        <vertAlign val="superscript"/>
        <sz val="10"/>
        <color indexed="8"/>
        <rFont val="Arial"/>
        <family val="2"/>
        <charset val="204"/>
      </rPr>
      <t>-1</t>
    </r>
  </si>
  <si>
    <t>Ф =</t>
  </si>
  <si>
    <t>лет</t>
  </si>
  <si>
    <t>1. Применяемые источники для проведения проверки чувствительности:</t>
  </si>
  <si>
    <t xml:space="preserve"> </t>
  </si>
  <si>
    <t>1. Применяемые источники для проведения проверки чувствительности и условия измерения:</t>
  </si>
  <si>
    <t>Атм. давление, гПа</t>
  </si>
  <si>
    <t>Отн. влажность, %</t>
  </si>
  <si>
    <t>Температура, °C</t>
  </si>
  <si>
    <t>гПа - гектопаскаль, 1 гПа = 100 Па</t>
  </si>
  <si>
    <r>
      <t xml:space="preserve">излучения УРК РМ5000В-10№ </t>
    </r>
    <r>
      <rPr>
        <b/>
        <u/>
        <sz val="14"/>
        <rFont val="Times New Roman"/>
        <family val="1"/>
        <charset val="204"/>
      </rPr>
      <t>_____170007______</t>
    </r>
  </si>
  <si>
    <t>Активность,       кБк, n/c, 26.11.2019</t>
  </si>
  <si>
    <r>
      <t xml:space="preserve">излучения УРК РМ5000В-10№ </t>
    </r>
    <r>
      <rPr>
        <b/>
        <u/>
        <sz val="14"/>
        <rFont val="Times New Roman"/>
        <family val="1"/>
        <charset val="204"/>
      </rPr>
      <t>_____170006______</t>
    </r>
  </si>
  <si>
    <t>Соответствие</t>
  </si>
  <si>
    <t>Среднее значение скорости счета, имп/с.</t>
  </si>
  <si>
    <t>БДГ</t>
  </si>
  <si>
    <t>Соответствует</t>
  </si>
  <si>
    <t>излучения ДАИ-5</t>
  </si>
  <si>
    <t>Проверка чувствительности регистрации бета</t>
  </si>
  <si>
    <t>90Sr</t>
  </si>
  <si>
    <t>Бк</t>
  </si>
  <si>
    <t>Дата</t>
  </si>
  <si>
    <t>4. Проверка чувствительности регистрации бета излучения.</t>
  </si>
  <si>
    <t>Не менее 0,25</t>
  </si>
  <si>
    <r>
      <t>241</t>
    </r>
    <r>
      <rPr>
        <sz val="12"/>
        <color theme="1"/>
        <rFont val="Times New Roman"/>
        <family val="1"/>
        <charset val="204"/>
      </rPr>
      <t>Am</t>
    </r>
  </si>
  <si>
    <t>4. Проверка чувствительности регистрации альфа излучения.</t>
  </si>
  <si>
    <t>Не менее 0,29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</si>
</sst>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"/>
    <numFmt numFmtId="166" formatCode="dd/mm/yy;@"/>
  </numFmts>
  <fonts count="37" x14ac:knownFonts="1">
    <font>
      <sz val="11"/>
      <color theme="1"/>
      <name val="Calibri"/>
      <family val="2"/>
      <scheme val="minor"/>
    </font>
    <font>
      <sz val="1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b/>
      <u/>
      <sz val="14"/>
      <name val="Times New Roman"/>
      <family val="1"/>
      <charset val="204"/>
    </font>
    <font>
      <sz val="10"/>
      <color theme="1"/>
      <name val="Times New Roman"/>
      <family val="1"/>
      <charset val="204"/>
    </font>
    <font>
      <vertAlign val="superscript"/>
      <sz val="10"/>
      <color theme="1"/>
      <name val="Times New Roman"/>
      <family val="1"/>
      <charset val="204"/>
    </font>
    <font>
      <sz val="10"/>
      <color indexed="8"/>
      <name val="Arial"/>
      <family val="2"/>
      <charset val="204"/>
    </font>
    <font>
      <sz val="10"/>
      <name val="Times New Roman"/>
      <family val="1"/>
      <charset val="204"/>
    </font>
    <font>
      <b/>
      <sz val="10"/>
      <name val="Arial"/>
      <family val="2"/>
      <charset val="204"/>
    </font>
    <font>
      <sz val="1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b/>
      <i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vertAlign val="subscript"/>
      <sz val="10"/>
      <color indexed="8"/>
      <name val="Arial"/>
      <family val="2"/>
      <charset val="204"/>
    </font>
    <font>
      <b/>
      <sz val="10"/>
      <color indexed="62"/>
      <name val="Arial"/>
      <family val="2"/>
      <charset val="204"/>
    </font>
    <font>
      <sz val="11"/>
      <color theme="1"/>
      <name val="Times New Roman"/>
      <family val="1"/>
      <charset val="204"/>
    </font>
    <font>
      <vertAlign val="subscript"/>
      <sz val="11"/>
      <color theme="1"/>
      <name val="Times New Roman"/>
      <family val="1"/>
      <charset val="204"/>
    </font>
    <font>
      <sz val="10"/>
      <color theme="1"/>
      <name val="Arial"/>
      <family val="2"/>
      <charset val="204"/>
    </font>
    <font>
      <sz val="10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vertAlign val="superscript"/>
      <sz val="10"/>
      <color indexed="8"/>
      <name val="Arial"/>
      <family val="2"/>
      <charset val="204"/>
    </font>
    <font>
      <i/>
      <sz val="12"/>
      <name val="Times New Roman"/>
      <family val="1"/>
      <charset val="204"/>
    </font>
    <font>
      <vertAlign val="superscript"/>
      <sz val="12"/>
      <name val="Times New Roman"/>
      <family val="1"/>
      <charset val="204"/>
    </font>
    <font>
      <b/>
      <i/>
      <sz val="11"/>
      <name val="Times New Roman"/>
      <family val="1"/>
      <charset val="204"/>
    </font>
    <font>
      <sz val="10"/>
      <name val="Arial"/>
      <family val="2"/>
      <charset val="204"/>
    </font>
    <font>
      <sz val="11"/>
      <color indexed="8"/>
      <name val="Times New Roman"/>
      <family val="1"/>
      <charset val="204"/>
    </font>
    <font>
      <sz val="9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14"/>
      <color theme="1"/>
      <name val="Times New Roman"/>
      <family val="1"/>
      <charset val="204"/>
    </font>
    <font>
      <i/>
      <sz val="12"/>
      <color rgb="FFFF0000"/>
      <name val="Times New Roman"/>
      <family val="1"/>
      <charset val="204"/>
    </font>
    <font>
      <sz val="12"/>
      <color rgb="FFFF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</fills>
  <borders count="3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8"/>
      </right>
      <top style="medium">
        <color indexed="64"/>
      </top>
      <bottom/>
      <diagonal/>
    </border>
    <border>
      <left style="medium">
        <color indexed="8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8"/>
      </bottom>
      <diagonal/>
    </border>
    <border>
      <left/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/>
      <top style="medium">
        <color indexed="8"/>
      </top>
      <bottom style="medium">
        <color indexed="8"/>
      </bottom>
      <diagonal/>
    </border>
    <border>
      <left/>
      <right style="medium">
        <color indexed="64"/>
      </right>
      <top style="medium">
        <color indexed="8"/>
      </top>
      <bottom style="medium">
        <color indexed="8"/>
      </bottom>
      <diagonal/>
    </border>
    <border>
      <left style="medium">
        <color indexed="64"/>
      </left>
      <right/>
      <top style="medium">
        <color indexed="8"/>
      </top>
      <bottom style="medium">
        <color indexed="64"/>
      </bottom>
      <diagonal/>
    </border>
    <border>
      <left/>
      <right style="medium">
        <color indexed="64"/>
      </right>
      <top style="medium">
        <color indexed="8"/>
      </top>
      <bottom style="medium">
        <color indexed="64"/>
      </bottom>
      <diagonal/>
    </border>
    <border>
      <left/>
      <right style="medium">
        <color indexed="8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6" fillId="0" borderId="0"/>
    <xf numFmtId="0" fontId="23" fillId="0" borderId="0"/>
    <xf numFmtId="0" fontId="30" fillId="0" borderId="0"/>
  </cellStyleXfs>
  <cellXfs count="15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4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 wrapText="1"/>
    </xf>
    <xf numFmtId="0" fontId="7" fillId="0" borderId="0" xfId="0" applyFont="1"/>
    <xf numFmtId="0" fontId="1" fillId="0" borderId="0" xfId="0" applyFont="1" applyBorder="1"/>
    <xf numFmtId="0" fontId="11" fillId="0" borderId="14" xfId="1" applyFont="1" applyBorder="1" applyAlignment="1">
      <alignment horizontal="center" vertical="center" wrapText="1"/>
    </xf>
    <xf numFmtId="0" fontId="11" fillId="0" borderId="15" xfId="1" applyFont="1" applyBorder="1" applyAlignment="1">
      <alignment horizontal="center" vertical="center" wrapText="1"/>
    </xf>
    <xf numFmtId="0" fontId="11" fillId="0" borderId="16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11" fillId="0" borderId="17" xfId="1" applyFont="1" applyBorder="1" applyAlignment="1">
      <alignment horizontal="center" vertical="center" wrapText="1"/>
    </xf>
    <xf numFmtId="0" fontId="11" fillId="0" borderId="18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1" fontId="13" fillId="0" borderId="3" xfId="1" applyNumberFormat="1" applyFont="1" applyBorder="1" applyAlignment="1">
      <alignment horizontal="center" vertical="center" wrapText="1"/>
    </xf>
    <xf numFmtId="1" fontId="13" fillId="0" borderId="1" xfId="1" applyNumberFormat="1" applyFont="1" applyBorder="1" applyAlignment="1">
      <alignment horizontal="center" vertical="center" wrapText="1"/>
    </xf>
    <xf numFmtId="1" fontId="13" fillId="0" borderId="2" xfId="1" applyNumberFormat="1" applyFont="1" applyBorder="1" applyAlignment="1">
      <alignment horizontal="center" vertical="center" wrapText="1"/>
    </xf>
    <xf numFmtId="0" fontId="11" fillId="0" borderId="0" xfId="1" applyFont="1" applyBorder="1" applyAlignment="1">
      <alignment horizontal="center" vertical="center" wrapText="1"/>
    </xf>
    <xf numFmtId="0" fontId="11" fillId="0" borderId="27" xfId="1" applyFont="1" applyBorder="1" applyAlignment="1">
      <alignment horizontal="center" vertical="center" wrapText="1"/>
    </xf>
    <xf numFmtId="2" fontId="13" fillId="0" borderId="1" xfId="1" applyNumberFormat="1" applyFont="1" applyBorder="1" applyAlignment="1">
      <alignment horizontal="center" vertical="center" wrapText="1"/>
    </xf>
    <xf numFmtId="2" fontId="13" fillId="0" borderId="2" xfId="1" applyNumberFormat="1" applyFont="1" applyBorder="1" applyAlignment="1">
      <alignment horizontal="center" vertical="center" wrapText="1"/>
    </xf>
    <xf numFmtId="2" fontId="13" fillId="0" borderId="4" xfId="1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8" fillId="0" borderId="0" xfId="1" applyFont="1" applyBorder="1" applyAlignment="1">
      <alignment horizontal="center" vertical="center" wrapText="1"/>
    </xf>
    <xf numFmtId="0" fontId="6" fillId="0" borderId="7" xfId="1" applyFont="1" applyBorder="1" applyAlignment="1">
      <alignment horizontal="right" vertical="center"/>
    </xf>
    <xf numFmtId="0" fontId="20" fillId="2" borderId="9" xfId="1" applyFont="1" applyFill="1" applyBorder="1" applyAlignment="1">
      <alignment horizontal="center" vertical="center"/>
    </xf>
    <xf numFmtId="0" fontId="6" fillId="0" borderId="9" xfId="1" applyFont="1" applyBorder="1" applyAlignment="1">
      <alignment vertical="center"/>
    </xf>
    <xf numFmtId="14" fontId="21" fillId="0" borderId="0" xfId="0" applyNumberFormat="1" applyFont="1" applyAlignment="1">
      <alignment horizontal="center"/>
    </xf>
    <xf numFmtId="0" fontId="23" fillId="0" borderId="12" xfId="2" applyBorder="1" applyAlignment="1">
      <alignment horizontal="right"/>
    </xf>
    <xf numFmtId="0" fontId="23" fillId="0" borderId="6" xfId="2" applyBorder="1"/>
    <xf numFmtId="14" fontId="21" fillId="0" borderId="6" xfId="1" applyNumberFormat="1" applyFont="1" applyFill="1" applyBorder="1" applyAlignment="1">
      <alignment horizontal="center" vertical="center"/>
    </xf>
    <xf numFmtId="0" fontId="18" fillId="0" borderId="7" xfId="2" applyFont="1" applyFill="1" applyBorder="1" applyAlignment="1">
      <alignment horizontal="center" vertical="center" wrapText="1"/>
    </xf>
    <xf numFmtId="0" fontId="24" fillId="0" borderId="8" xfId="1" applyFont="1" applyBorder="1" applyAlignment="1">
      <alignment vertical="center"/>
    </xf>
    <xf numFmtId="2" fontId="23" fillId="0" borderId="6" xfId="2" applyNumberFormat="1" applyBorder="1" applyAlignment="1">
      <alignment horizontal="center"/>
    </xf>
    <xf numFmtId="0" fontId="25" fillId="0" borderId="7" xfId="1" applyFont="1" applyBorder="1" applyAlignment="1">
      <alignment horizontal="center" vertical="center"/>
    </xf>
    <xf numFmtId="0" fontId="6" fillId="0" borderId="7" xfId="1" applyFont="1" applyFill="1" applyBorder="1" applyAlignment="1">
      <alignment horizontal="right" vertical="center" wrapText="1"/>
    </xf>
    <xf numFmtId="0" fontId="6" fillId="0" borderId="12" xfId="1" applyFont="1" applyFill="1" applyBorder="1" applyAlignment="1">
      <alignment horizontal="right" vertical="center" wrapText="1"/>
    </xf>
    <xf numFmtId="0" fontId="6" fillId="0" borderId="6" xfId="1" applyFont="1" applyBorder="1" applyAlignment="1">
      <alignment vertical="center"/>
    </xf>
    <xf numFmtId="0" fontId="25" fillId="0" borderId="3" xfId="1" applyFont="1" applyBorder="1" applyAlignment="1">
      <alignment horizontal="center" vertical="center"/>
    </xf>
    <xf numFmtId="0" fontId="24" fillId="0" borderId="4" xfId="1" applyFont="1" applyBorder="1" applyAlignment="1">
      <alignment vertical="center"/>
    </xf>
    <xf numFmtId="2" fontId="4" fillId="0" borderId="1" xfId="0" applyNumberFormat="1" applyFont="1" applyBorder="1" applyAlignment="1">
      <alignment horizontal="center" vertical="center"/>
    </xf>
    <xf numFmtId="0" fontId="21" fillId="0" borderId="0" xfId="0" applyFont="1"/>
    <xf numFmtId="0" fontId="21" fillId="0" borderId="7" xfId="0" applyFont="1" applyBorder="1"/>
    <xf numFmtId="0" fontId="21" fillId="0" borderId="9" xfId="0" applyFont="1" applyBorder="1"/>
    <xf numFmtId="0" fontId="21" fillId="0" borderId="12" xfId="0" applyFont="1" applyBorder="1"/>
    <xf numFmtId="0" fontId="21" fillId="0" borderId="6" xfId="0" applyFont="1" applyBorder="1"/>
    <xf numFmtId="0" fontId="21" fillId="0" borderId="3" xfId="0" applyFont="1" applyBorder="1"/>
    <xf numFmtId="0" fontId="21" fillId="0" borderId="2" xfId="0" applyFont="1" applyBorder="1"/>
    <xf numFmtId="0" fontId="29" fillId="0" borderId="4" xfId="0" applyFont="1" applyBorder="1"/>
    <xf numFmtId="1" fontId="27" fillId="0" borderId="2" xfId="1" applyNumberFormat="1" applyFont="1" applyBorder="1" applyAlignment="1">
      <alignment horizontal="center" vertical="center" wrapText="1"/>
    </xf>
    <xf numFmtId="0" fontId="29" fillId="0" borderId="2" xfId="0" applyFont="1" applyBorder="1"/>
    <xf numFmtId="0" fontId="7" fillId="0" borderId="6" xfId="1" applyFont="1" applyBorder="1" applyAlignment="1">
      <alignment horizontal="center" vertical="center" wrapText="1"/>
    </xf>
    <xf numFmtId="0" fontId="7" fillId="0" borderId="13" xfId="1" applyFont="1" applyBorder="1" applyAlignment="1">
      <alignment horizontal="center" vertical="center" wrapText="1"/>
    </xf>
    <xf numFmtId="1" fontId="27" fillId="0" borderId="4" xfId="1" applyNumberFormat="1" applyFont="1" applyBorder="1" applyAlignment="1">
      <alignment horizontal="center" vertical="center" wrapText="1"/>
    </xf>
    <xf numFmtId="0" fontId="32" fillId="0" borderId="2" xfId="1" applyFont="1" applyBorder="1" applyAlignment="1">
      <alignment horizontal="center" vertical="center" wrapText="1"/>
    </xf>
    <xf numFmtId="0" fontId="32" fillId="0" borderId="1" xfId="1" applyFont="1" applyBorder="1" applyAlignment="1">
      <alignment horizontal="center" vertical="top" wrapText="1"/>
    </xf>
    <xf numFmtId="0" fontId="21" fillId="0" borderId="0" xfId="0" applyFont="1" applyBorder="1"/>
    <xf numFmtId="0" fontId="31" fillId="0" borderId="0" xfId="1" applyFont="1" applyBorder="1" applyAlignment="1">
      <alignment horizontal="left" vertical="center"/>
    </xf>
    <xf numFmtId="0" fontId="7" fillId="0" borderId="0" xfId="3" applyFont="1" applyBorder="1" applyAlignment="1">
      <alignment horizontal="center"/>
    </xf>
    <xf numFmtId="14" fontId="21" fillId="0" borderId="0" xfId="0" applyNumberFormat="1" applyFont="1"/>
    <xf numFmtId="0" fontId="6" fillId="0" borderId="33" xfId="1" applyFont="1" applyBorder="1" applyAlignment="1">
      <alignment horizontal="right" vertical="center"/>
    </xf>
    <xf numFmtId="0" fontId="20" fillId="2" borderId="34" xfId="1" applyFont="1" applyFill="1" applyBorder="1" applyAlignment="1">
      <alignment horizontal="center" vertical="center"/>
    </xf>
    <xf numFmtId="0" fontId="6" fillId="0" borderId="34" xfId="1" applyFont="1" applyBorder="1" applyAlignment="1">
      <alignment vertical="center"/>
    </xf>
    <xf numFmtId="14" fontId="21" fillId="0" borderId="35" xfId="0" applyNumberFormat="1" applyFont="1" applyBorder="1" applyAlignment="1">
      <alignment horizontal="center"/>
    </xf>
    <xf numFmtId="0" fontId="23" fillId="0" borderId="36" xfId="2" applyBorder="1" applyAlignment="1">
      <alignment horizontal="right"/>
    </xf>
    <xf numFmtId="2" fontId="23" fillId="0" borderId="37" xfId="2" applyNumberFormat="1" applyBorder="1" applyAlignment="1">
      <alignment horizontal="center"/>
    </xf>
    <xf numFmtId="0" fontId="23" fillId="0" borderId="37" xfId="2" applyBorder="1"/>
    <xf numFmtId="14" fontId="21" fillId="0" borderId="38" xfId="1" applyNumberFormat="1" applyFont="1" applyFill="1" applyBorder="1" applyAlignment="1">
      <alignment horizontal="center" vertical="center"/>
    </xf>
    <xf numFmtId="14" fontId="33" fillId="0" borderId="0" xfId="0" applyNumberFormat="1" applyFont="1"/>
    <xf numFmtId="1" fontId="35" fillId="0" borderId="1" xfId="1" applyNumberFormat="1" applyFont="1" applyBorder="1" applyAlignment="1">
      <alignment horizontal="center" vertical="center" wrapText="1"/>
    </xf>
    <xf numFmtId="14" fontId="4" fillId="0" borderId="3" xfId="1" applyNumberFormat="1" applyFont="1" applyFill="1" applyBorder="1" applyAlignment="1">
      <alignment horizontal="center" vertical="center"/>
    </xf>
    <xf numFmtId="14" fontId="4" fillId="0" borderId="4" xfId="1" applyNumberFormat="1" applyFont="1" applyFill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2" fillId="0" borderId="3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1" fontId="14" fillId="0" borderId="3" xfId="1" applyNumberFormat="1" applyFont="1" applyBorder="1" applyAlignment="1">
      <alignment horizontal="center" vertical="center" wrapText="1"/>
    </xf>
    <xf numFmtId="1" fontId="14" fillId="0" borderId="4" xfId="1" applyNumberFormat="1" applyFont="1" applyBorder="1" applyAlignment="1">
      <alignment horizontal="center" vertical="center" wrapText="1"/>
    </xf>
    <xf numFmtId="0" fontId="15" fillId="2" borderId="3" xfId="1" applyFont="1" applyFill="1" applyBorder="1" applyAlignment="1">
      <alignment horizontal="center" vertical="center" wrapText="1"/>
    </xf>
    <xf numFmtId="0" fontId="15" fillId="2" borderId="4" xfId="1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2" fontId="4" fillId="0" borderId="3" xfId="0" applyNumberFormat="1" applyFont="1" applyBorder="1" applyAlignment="1">
      <alignment horizontal="center" vertical="center"/>
    </xf>
    <xf numFmtId="2" fontId="4" fillId="0" borderId="4" xfId="0" applyNumberFormat="1" applyFont="1" applyBorder="1" applyAlignment="1">
      <alignment horizontal="center" vertical="center"/>
    </xf>
    <xf numFmtId="0" fontId="8" fillId="0" borderId="0" xfId="1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10" fillId="0" borderId="9" xfId="1" applyFont="1" applyBorder="1" applyAlignment="1">
      <alignment horizontal="center" vertical="center" wrapText="1"/>
    </xf>
    <xf numFmtId="0" fontId="10" fillId="0" borderId="10" xfId="1" applyFont="1" applyBorder="1" applyAlignment="1">
      <alignment horizontal="center" vertical="center" wrapText="1"/>
    </xf>
    <xf numFmtId="0" fontId="10" fillId="0" borderId="11" xfId="1" applyFont="1" applyBorder="1" applyAlignment="1">
      <alignment horizontal="center" vertical="center" wrapText="1"/>
    </xf>
    <xf numFmtId="0" fontId="10" fillId="0" borderId="8" xfId="1" applyFont="1" applyBorder="1" applyAlignment="1">
      <alignment horizontal="center" vertical="center" wrapText="1"/>
    </xf>
    <xf numFmtId="164" fontId="14" fillId="0" borderId="20" xfId="1" applyNumberFormat="1" applyFont="1" applyBorder="1" applyAlignment="1">
      <alignment horizontal="center" vertical="center" wrapText="1"/>
    </xf>
    <xf numFmtId="164" fontId="14" fillId="0" borderId="21" xfId="1" applyNumberFormat="1" applyFont="1" applyBorder="1" applyAlignment="1">
      <alignment horizontal="center" vertical="center" wrapText="1"/>
    </xf>
    <xf numFmtId="0" fontId="10" fillId="0" borderId="3" xfId="1" applyFont="1" applyBorder="1" applyAlignment="1">
      <alignment horizontal="center" vertical="center" wrapText="1"/>
    </xf>
    <xf numFmtId="0" fontId="10" fillId="0" borderId="26" xfId="1" applyFont="1" applyBorder="1" applyAlignment="1">
      <alignment horizontal="center" vertical="center" wrapText="1"/>
    </xf>
    <xf numFmtId="0" fontId="10" fillId="0" borderId="16" xfId="1" applyFont="1" applyBorder="1" applyAlignment="1">
      <alignment horizontal="center" vertical="center" wrapText="1"/>
    </xf>
    <xf numFmtId="0" fontId="10" fillId="0" borderId="4" xfId="1" applyFont="1" applyBorder="1" applyAlignment="1">
      <alignment horizontal="center" vertical="center" wrapText="1"/>
    </xf>
    <xf numFmtId="165" fontId="10" fillId="0" borderId="22" xfId="1" applyNumberFormat="1" applyFont="1" applyBorder="1" applyAlignment="1">
      <alignment horizontal="center" vertical="center" wrapText="1"/>
    </xf>
    <xf numFmtId="165" fontId="10" fillId="0" borderId="23" xfId="1" applyNumberFormat="1" applyFont="1" applyBorder="1" applyAlignment="1">
      <alignment horizontal="center" vertical="center" wrapText="1"/>
    </xf>
    <xf numFmtId="0" fontId="10" fillId="2" borderId="24" xfId="1" applyFont="1" applyFill="1" applyBorder="1" applyAlignment="1">
      <alignment horizontal="center" vertical="center" wrapText="1"/>
    </xf>
    <xf numFmtId="0" fontId="10" fillId="2" borderId="25" xfId="1" applyFont="1" applyFill="1" applyBorder="1" applyAlignment="1">
      <alignment horizontal="center" vertical="center" wrapText="1"/>
    </xf>
    <xf numFmtId="2" fontId="14" fillId="0" borderId="3" xfId="1" applyNumberFormat="1" applyFont="1" applyBorder="1" applyAlignment="1">
      <alignment horizontal="center" vertical="center" wrapText="1"/>
    </xf>
    <xf numFmtId="2" fontId="14" fillId="0" borderId="4" xfId="1" applyNumberFormat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 wrapText="1"/>
    </xf>
    <xf numFmtId="0" fontId="11" fillId="0" borderId="4" xfId="1" applyFont="1" applyBorder="1" applyAlignment="1">
      <alignment horizontal="center" vertical="center" wrapText="1"/>
    </xf>
    <xf numFmtId="0" fontId="10" fillId="2" borderId="3" xfId="1" applyFont="1" applyFill="1" applyBorder="1" applyAlignment="1">
      <alignment horizontal="center" vertical="center" wrapText="1"/>
    </xf>
    <xf numFmtId="0" fontId="10" fillId="2" borderId="4" xfId="1" applyFont="1" applyFill="1" applyBorder="1" applyAlignment="1">
      <alignment horizontal="center" vertical="center" wrapText="1"/>
    </xf>
    <xf numFmtId="165" fontId="14" fillId="0" borderId="3" xfId="1" applyNumberFormat="1" applyFont="1" applyBorder="1" applyAlignment="1">
      <alignment horizontal="center" vertical="center" wrapText="1"/>
    </xf>
    <xf numFmtId="165" fontId="14" fillId="0" borderId="4" xfId="1" applyNumberFormat="1" applyFont="1" applyBorder="1" applyAlignment="1">
      <alignment horizontal="center" vertical="center" wrapText="1"/>
    </xf>
    <xf numFmtId="2" fontId="4" fillId="0" borderId="4" xfId="0" applyNumberFormat="1" applyFont="1" applyBorder="1" applyAlignment="1">
      <alignment horizontal="center"/>
    </xf>
    <xf numFmtId="0" fontId="21" fillId="0" borderId="3" xfId="0" applyFont="1" applyBorder="1" applyAlignment="1">
      <alignment horizontal="center"/>
    </xf>
    <xf numFmtId="0" fontId="21" fillId="0" borderId="4" xfId="0" applyFont="1" applyBorder="1" applyAlignment="1">
      <alignment horizontal="center"/>
    </xf>
    <xf numFmtId="0" fontId="17" fillId="0" borderId="28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29" fillId="0" borderId="3" xfId="0" applyFont="1" applyBorder="1" applyAlignment="1">
      <alignment vertical="center"/>
    </xf>
    <xf numFmtId="0" fontId="0" fillId="0" borderId="4" xfId="0" applyBorder="1" applyAlignment="1">
      <alignment vertical="center"/>
    </xf>
    <xf numFmtId="165" fontId="14" fillId="0" borderId="2" xfId="1" applyNumberFormat="1" applyFont="1" applyBorder="1" applyAlignment="1">
      <alignment horizontal="center" vertical="center" wrapText="1"/>
    </xf>
    <xf numFmtId="164" fontId="36" fillId="0" borderId="30" xfId="1" applyNumberFormat="1" applyFont="1" applyBorder="1" applyAlignment="1">
      <alignment horizontal="center" vertical="center" wrapText="1"/>
    </xf>
    <xf numFmtId="164" fontId="36" fillId="0" borderId="23" xfId="1" applyNumberFormat="1" applyFont="1" applyBorder="1" applyAlignment="1">
      <alignment horizontal="center" vertical="center" wrapText="1"/>
    </xf>
    <xf numFmtId="0" fontId="14" fillId="2" borderId="31" xfId="1" applyFont="1" applyFill="1" applyBorder="1" applyAlignment="1">
      <alignment horizontal="center" vertical="center" wrapText="1"/>
    </xf>
    <xf numFmtId="0" fontId="14" fillId="2" borderId="25" xfId="1" applyFont="1" applyFill="1" applyBorder="1" applyAlignment="1">
      <alignment horizontal="center" vertical="center" wrapText="1"/>
    </xf>
    <xf numFmtId="0" fontId="14" fillId="0" borderId="9" xfId="1" applyFont="1" applyBorder="1" applyAlignment="1">
      <alignment horizontal="center" vertical="center" wrapText="1"/>
    </xf>
    <xf numFmtId="0" fontId="14" fillId="0" borderId="8" xfId="1" applyFont="1" applyBorder="1" applyAlignment="1">
      <alignment horizontal="center" vertical="center" wrapText="1"/>
    </xf>
    <xf numFmtId="0" fontId="14" fillId="2" borderId="2" xfId="1" applyFont="1" applyFill="1" applyBorder="1" applyAlignment="1">
      <alignment horizontal="center" vertical="center" wrapText="1"/>
    </xf>
    <xf numFmtId="0" fontId="14" fillId="2" borderId="4" xfId="1" applyFont="1" applyFill="1" applyBorder="1" applyAlignment="1">
      <alignment horizontal="center" vertical="center" wrapText="1"/>
    </xf>
    <xf numFmtId="1" fontId="14" fillId="0" borderId="2" xfId="1" applyNumberFormat="1" applyFont="1" applyBorder="1" applyAlignment="1">
      <alignment horizontal="center" vertical="center" wrapText="1"/>
    </xf>
    <xf numFmtId="0" fontId="28" fillId="2" borderId="2" xfId="1" applyFont="1" applyFill="1" applyBorder="1" applyAlignment="1">
      <alignment horizontal="center" vertical="center" wrapText="1"/>
    </xf>
    <xf numFmtId="0" fontId="28" fillId="2" borderId="4" xfId="1" applyFont="1" applyFill="1" applyBorder="1" applyAlignment="1">
      <alignment horizontal="center" vertical="center" wrapText="1"/>
    </xf>
    <xf numFmtId="164" fontId="14" fillId="0" borderId="2" xfId="1" applyNumberFormat="1" applyFont="1" applyBorder="1" applyAlignment="1">
      <alignment horizontal="center" vertical="center" wrapText="1"/>
    </xf>
    <xf numFmtId="164" fontId="14" fillId="0" borderId="4" xfId="1" applyNumberFormat="1" applyFont="1" applyBorder="1" applyAlignment="1">
      <alignment horizontal="center" vertical="center" wrapText="1"/>
    </xf>
    <xf numFmtId="164" fontId="14" fillId="0" borderId="29" xfId="1" applyNumberFormat="1" applyFont="1" applyBorder="1" applyAlignment="1">
      <alignment horizontal="center" vertical="center" wrapText="1"/>
    </xf>
    <xf numFmtId="0" fontId="34" fillId="0" borderId="7" xfId="0" applyFont="1" applyBorder="1" applyAlignment="1">
      <alignment horizontal="center" vertical="center" wrapText="1"/>
    </xf>
    <xf numFmtId="0" fontId="34" fillId="0" borderId="12" xfId="0" applyFont="1" applyBorder="1" applyAlignment="1">
      <alignment horizontal="center" vertical="center" wrapText="1"/>
    </xf>
    <xf numFmtId="0" fontId="31" fillId="0" borderId="0" xfId="1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166" fontId="21" fillId="0" borderId="0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34" fillId="0" borderId="32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</cellXfs>
  <cellStyles count="4">
    <cellStyle name="Excel Built-in Normal" xfId="1" xr:uid="{00000000-0005-0000-0000-000000000000}"/>
    <cellStyle name="Обычный" xfId="0" builtinId="0"/>
    <cellStyle name="Обычный 2" xfId="2" xr:uid="{00000000-0005-0000-0000-000002000000}"/>
    <cellStyle name="Обычный 3" xfId="3" xr:uid="{F1B3B4CD-A92A-4251-9F17-7663D8A45887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9"/>
  <sheetViews>
    <sheetView workbookViewId="0">
      <selection activeCell="F8" sqref="B7:G8"/>
    </sheetView>
  </sheetViews>
  <sheetFormatPr defaultRowHeight="15" x14ac:dyDescent="0.25"/>
  <cols>
    <col min="1" max="1" width="6.5703125" customWidth="1"/>
    <col min="2" max="2" width="12.7109375" customWidth="1"/>
    <col min="3" max="4" width="10.42578125" customWidth="1"/>
    <col min="5" max="5" width="9.7109375" bestFit="1" customWidth="1"/>
    <col min="6" max="6" width="9.140625" customWidth="1"/>
    <col min="8" max="8" width="9.140625" customWidth="1"/>
    <col min="10" max="10" width="9.140625" customWidth="1"/>
    <col min="17" max="17" width="13.5703125" customWidth="1"/>
  </cols>
  <sheetData>
    <row r="1" spans="1:21" ht="15.75" thickBot="1" x14ac:dyDescent="0.3"/>
    <row r="2" spans="1:21" ht="19.5" thickBot="1" x14ac:dyDescent="0.35">
      <c r="A2" s="1"/>
      <c r="B2" s="1"/>
      <c r="C2" s="1"/>
      <c r="D2" s="1"/>
      <c r="E2" s="2" t="s">
        <v>0</v>
      </c>
      <c r="F2" s="1"/>
      <c r="G2" s="1"/>
      <c r="H2" s="1"/>
      <c r="J2" s="1"/>
      <c r="M2" s="122" t="s">
        <v>34</v>
      </c>
      <c r="N2" s="30" t="s">
        <v>35</v>
      </c>
      <c r="O2" s="31">
        <v>1240</v>
      </c>
      <c r="P2" s="32" t="s">
        <v>36</v>
      </c>
      <c r="Q2" s="33">
        <v>43511</v>
      </c>
      <c r="R2" s="120" t="s">
        <v>37</v>
      </c>
      <c r="S2" s="121"/>
    </row>
    <row r="3" spans="1:21" ht="19.5" thickBot="1" x14ac:dyDescent="0.35">
      <c r="A3" s="1"/>
      <c r="B3" s="1"/>
      <c r="C3" s="1"/>
      <c r="D3" s="1"/>
      <c r="E3" s="2" t="s">
        <v>56</v>
      </c>
      <c r="F3" s="1"/>
      <c r="G3" s="1"/>
      <c r="H3" s="1"/>
      <c r="I3" s="1"/>
      <c r="J3" s="1"/>
      <c r="M3" s="123"/>
      <c r="N3" s="34" t="s">
        <v>38</v>
      </c>
      <c r="O3">
        <f>$Z$7*EXP(-0.9317*$AE$8)</f>
        <v>0</v>
      </c>
      <c r="P3" s="35" t="s">
        <v>36</v>
      </c>
      <c r="Q3" s="36">
        <v>43564</v>
      </c>
      <c r="R3" s="37">
        <v>271.8</v>
      </c>
      <c r="S3" s="38" t="s">
        <v>39</v>
      </c>
      <c r="T3">
        <f>(Q3-Q2)/365</f>
        <v>0.14520547945205478</v>
      </c>
      <c r="U3" t="s">
        <v>40</v>
      </c>
    </row>
    <row r="4" spans="1:21" ht="19.5" thickBot="1" x14ac:dyDescent="0.35">
      <c r="A4" s="1"/>
      <c r="B4" s="1"/>
      <c r="C4" s="1"/>
      <c r="D4" s="1"/>
      <c r="F4" s="2"/>
      <c r="G4" s="1"/>
      <c r="H4" s="1"/>
      <c r="I4" s="1"/>
      <c r="J4" s="1"/>
      <c r="M4" s="122" t="s">
        <v>41</v>
      </c>
      <c r="N4" s="30" t="s">
        <v>35</v>
      </c>
      <c r="O4" s="31">
        <v>850</v>
      </c>
      <c r="P4" s="32" t="s">
        <v>36</v>
      </c>
      <c r="Q4" s="33">
        <v>43504</v>
      </c>
      <c r="R4" s="120" t="s">
        <v>37</v>
      </c>
      <c r="S4" s="121"/>
    </row>
    <row r="5" spans="1:21" ht="16.5" thickBot="1" x14ac:dyDescent="0.3">
      <c r="A5" s="3" t="s">
        <v>49</v>
      </c>
      <c r="B5" s="1"/>
      <c r="C5" s="1"/>
      <c r="D5" s="1"/>
      <c r="F5" s="1"/>
      <c r="G5" s="1"/>
      <c r="H5" s="1"/>
      <c r="I5" s="1"/>
      <c r="J5" s="1"/>
      <c r="M5" s="123"/>
      <c r="N5" s="34" t="s">
        <v>38</v>
      </c>
      <c r="O5" s="39">
        <f>O4*EXP(-LN(2)*(Q5-Q4)/R5)</f>
        <v>834.54174917342175</v>
      </c>
      <c r="P5" s="35" t="s">
        <v>36</v>
      </c>
      <c r="Q5" s="36">
        <v>43795</v>
      </c>
      <c r="R5" s="40">
        <v>10990</v>
      </c>
      <c r="S5" s="38" t="s">
        <v>39</v>
      </c>
      <c r="T5">
        <f t="shared" ref="T5" si="0">(Q5-Q4)/365</f>
        <v>0.79726027397260268</v>
      </c>
      <c r="U5" t="s">
        <v>40</v>
      </c>
    </row>
    <row r="6" spans="1:21" ht="17.25" thickBot="1" x14ac:dyDescent="0.35">
      <c r="M6" s="122" t="s">
        <v>42</v>
      </c>
      <c r="N6" s="41" t="s">
        <v>43</v>
      </c>
      <c r="O6" s="31">
        <v>9840</v>
      </c>
      <c r="P6" s="32" t="s">
        <v>44</v>
      </c>
      <c r="Q6" s="33">
        <f>$D$12</f>
        <v>43531</v>
      </c>
      <c r="R6" s="120" t="s">
        <v>37</v>
      </c>
      <c r="S6" s="121"/>
    </row>
    <row r="7" spans="1:21" ht="16.5" thickBot="1" x14ac:dyDescent="0.3">
      <c r="B7" s="86" t="s">
        <v>52</v>
      </c>
      <c r="C7" s="86"/>
      <c r="D7" s="86" t="s">
        <v>50</v>
      </c>
      <c r="E7" s="86"/>
      <c r="F7" s="86" t="s">
        <v>51</v>
      </c>
      <c r="G7" s="86"/>
      <c r="M7" s="123"/>
      <c r="N7" s="42" t="s">
        <v>45</v>
      </c>
      <c r="O7" s="39">
        <f>O6*EXP(-LN(2)*(Q7-Q6)/(R7*365.25))</f>
        <v>8142.0427081277012</v>
      </c>
      <c r="P7" s="43" t="s">
        <v>44</v>
      </c>
      <c r="Q7" s="36">
        <v>43795</v>
      </c>
      <c r="R7" s="44">
        <v>2.645</v>
      </c>
      <c r="S7" s="45" t="s">
        <v>46</v>
      </c>
      <c r="T7">
        <f>(Q7-Q6)/365</f>
        <v>0.72328767123287674</v>
      </c>
      <c r="U7" t="s">
        <v>40</v>
      </c>
    </row>
    <row r="8" spans="1:21" ht="15.75" thickBot="1" x14ac:dyDescent="0.3">
      <c r="B8" s="87">
        <v>1</v>
      </c>
      <c r="C8" s="87"/>
      <c r="D8" s="87">
        <v>999</v>
      </c>
      <c r="E8" s="87"/>
      <c r="F8" s="87">
        <v>96</v>
      </c>
      <c r="G8" s="87"/>
    </row>
    <row r="9" spans="1:21" ht="15.75" thickBot="1" x14ac:dyDescent="0.3"/>
    <row r="10" spans="1:21" ht="39" thickBot="1" x14ac:dyDescent="0.3">
      <c r="A10" s="4" t="s">
        <v>1</v>
      </c>
      <c r="B10" s="5" t="s">
        <v>2</v>
      </c>
      <c r="C10" s="6" t="s">
        <v>3</v>
      </c>
      <c r="D10" s="88" t="s">
        <v>4</v>
      </c>
      <c r="E10" s="89"/>
      <c r="F10" s="88" t="s">
        <v>55</v>
      </c>
      <c r="G10" s="89"/>
    </row>
    <row r="11" spans="1:21" ht="16.5" thickBot="1" x14ac:dyDescent="0.3">
      <c r="A11" s="7" t="s">
        <v>5</v>
      </c>
      <c r="B11" s="8" t="s">
        <v>6</v>
      </c>
      <c r="C11" s="46">
        <f>$O$4</f>
        <v>850</v>
      </c>
      <c r="D11" s="76">
        <v>43504</v>
      </c>
      <c r="E11" s="77"/>
      <c r="F11" s="90">
        <f>$O$5</f>
        <v>834.54174917342175</v>
      </c>
      <c r="G11" s="91"/>
      <c r="N11" t="s">
        <v>53</v>
      </c>
    </row>
    <row r="12" spans="1:21" ht="16.5" thickBot="1" x14ac:dyDescent="0.3">
      <c r="A12" s="7" t="s">
        <v>7</v>
      </c>
      <c r="B12" s="8" t="s">
        <v>8</v>
      </c>
      <c r="C12" s="10">
        <f>$O$6</f>
        <v>9840</v>
      </c>
      <c r="D12" s="76">
        <v>43531</v>
      </c>
      <c r="E12" s="77"/>
      <c r="F12" s="78">
        <f>$O$7</f>
        <v>8142.0427081277012</v>
      </c>
      <c r="G12" s="79"/>
    </row>
    <row r="14" spans="1:21" x14ac:dyDescent="0.25">
      <c r="A14" s="11" t="s">
        <v>9</v>
      </c>
      <c r="B14" s="1"/>
      <c r="C14" s="1"/>
      <c r="D14" s="1"/>
      <c r="E14" s="1"/>
      <c r="F14" s="1"/>
      <c r="G14" s="1"/>
      <c r="H14" s="1"/>
      <c r="I14" s="1"/>
      <c r="J14" s="1"/>
    </row>
    <row r="15" spans="1:21" ht="15.75" thickBot="1" x14ac:dyDescent="0.3">
      <c r="A15" s="12"/>
      <c r="B15" s="12"/>
      <c r="C15" s="92"/>
      <c r="D15" s="92"/>
      <c r="E15" s="92"/>
      <c r="F15" s="92"/>
      <c r="G15" s="92"/>
      <c r="H15" s="92"/>
      <c r="I15" s="92"/>
      <c r="J15" s="92"/>
    </row>
    <row r="16" spans="1:21" ht="16.5" thickBot="1" x14ac:dyDescent="0.3">
      <c r="A16" s="93"/>
      <c r="B16" s="94"/>
      <c r="C16" s="97" t="s">
        <v>10</v>
      </c>
      <c r="D16" s="98"/>
      <c r="E16" s="99" t="s">
        <v>11</v>
      </c>
      <c r="F16" s="98"/>
      <c r="G16" s="99" t="s">
        <v>12</v>
      </c>
      <c r="H16" s="98"/>
      <c r="I16" s="99" t="s">
        <v>13</v>
      </c>
      <c r="J16" s="100"/>
    </row>
    <row r="17" spans="1:10" ht="15.75" thickBot="1" x14ac:dyDescent="0.3">
      <c r="A17" s="95"/>
      <c r="B17" s="96"/>
      <c r="C17" s="13" t="s">
        <v>14</v>
      </c>
      <c r="D17" s="14" t="s">
        <v>15</v>
      </c>
      <c r="E17" s="15" t="s">
        <v>14</v>
      </c>
      <c r="F17" s="16" t="s">
        <v>15</v>
      </c>
      <c r="G17" s="17" t="s">
        <v>14</v>
      </c>
      <c r="H17" s="14" t="s">
        <v>15</v>
      </c>
      <c r="I17" s="18" t="s">
        <v>14</v>
      </c>
      <c r="J17" s="19" t="s">
        <v>15</v>
      </c>
    </row>
    <row r="18" spans="1:10" ht="30.95" customHeight="1" thickBot="1" x14ac:dyDescent="0.3">
      <c r="A18" s="80" t="s">
        <v>16</v>
      </c>
      <c r="B18" s="81"/>
      <c r="C18" s="20">
        <v>773</v>
      </c>
      <c r="D18" s="21">
        <v>1827</v>
      </c>
      <c r="E18" s="22">
        <v>731</v>
      </c>
      <c r="F18" s="21">
        <v>1504</v>
      </c>
      <c r="G18" s="22">
        <v>787</v>
      </c>
      <c r="H18" s="21">
        <v>1870</v>
      </c>
      <c r="I18" s="22">
        <v>694</v>
      </c>
      <c r="J18" s="21">
        <v>1472</v>
      </c>
    </row>
    <row r="19" spans="1:10" ht="30.95" customHeight="1" thickBot="1" x14ac:dyDescent="0.3">
      <c r="A19" s="80" t="s">
        <v>17</v>
      </c>
      <c r="B19" s="81"/>
      <c r="C19" s="82">
        <f>D18-C18</f>
        <v>1054</v>
      </c>
      <c r="D19" s="83"/>
      <c r="E19" s="82">
        <f>F18-E18</f>
        <v>773</v>
      </c>
      <c r="F19" s="83"/>
      <c r="G19" s="82">
        <f>H18-G18</f>
        <v>1083</v>
      </c>
      <c r="H19" s="83"/>
      <c r="I19" s="82">
        <f>J18-I18</f>
        <v>778</v>
      </c>
      <c r="J19" s="83"/>
    </row>
    <row r="20" spans="1:10" ht="19.5" thickBot="1" x14ac:dyDescent="0.3">
      <c r="A20" s="80" t="s">
        <v>1</v>
      </c>
      <c r="B20" s="81"/>
      <c r="C20" s="84" t="s">
        <v>18</v>
      </c>
      <c r="D20" s="85"/>
      <c r="E20" s="84" t="s">
        <v>18</v>
      </c>
      <c r="F20" s="85"/>
      <c r="G20" s="84" t="s">
        <v>18</v>
      </c>
      <c r="H20" s="85"/>
      <c r="I20" s="84" t="s">
        <v>18</v>
      </c>
      <c r="J20" s="85"/>
    </row>
    <row r="21" spans="1:10" ht="30.95" customHeight="1" thickBot="1" x14ac:dyDescent="0.3">
      <c r="A21" s="80" t="s">
        <v>19</v>
      </c>
      <c r="B21" s="81"/>
      <c r="C21" s="101">
        <f>$F$11/1000</f>
        <v>0.83454174917342172</v>
      </c>
      <c r="D21" s="102"/>
      <c r="E21" s="101">
        <f t="shared" ref="E21" si="1">$F$11/1000</f>
        <v>0.83454174917342172</v>
      </c>
      <c r="F21" s="102"/>
      <c r="G21" s="101">
        <f t="shared" ref="G21" si="2">$F$11/1000</f>
        <v>0.83454174917342172</v>
      </c>
      <c r="H21" s="102"/>
      <c r="I21" s="101">
        <f t="shared" ref="I21" si="3">$F$11/1000</f>
        <v>0.83454174917342172</v>
      </c>
      <c r="J21" s="102"/>
    </row>
    <row r="22" spans="1:10" ht="16.5" thickBot="1" x14ac:dyDescent="0.3">
      <c r="A22" s="80" t="s">
        <v>20</v>
      </c>
      <c r="B22" s="81"/>
      <c r="C22" s="107">
        <f>ROUND(C19/C21,2)</f>
        <v>1262.97</v>
      </c>
      <c r="D22" s="108"/>
      <c r="E22" s="107">
        <f>ROUND(E19/E21,2)</f>
        <v>926.26</v>
      </c>
      <c r="F22" s="108"/>
      <c r="G22" s="107">
        <f>ROUND(G19/G21,2)</f>
        <v>1297.72</v>
      </c>
      <c r="H22" s="108"/>
      <c r="I22" s="107">
        <f>ROUND(I19/I21,2)</f>
        <v>932.25</v>
      </c>
      <c r="J22" s="108"/>
    </row>
    <row r="23" spans="1:10" ht="30.95" customHeight="1" thickBot="1" x14ac:dyDescent="0.3">
      <c r="A23" s="80" t="s">
        <v>21</v>
      </c>
      <c r="B23" s="81"/>
      <c r="C23" s="109" t="s">
        <v>22</v>
      </c>
      <c r="D23" s="110"/>
      <c r="E23" s="109" t="s">
        <v>22</v>
      </c>
      <c r="F23" s="110"/>
      <c r="G23" s="109" t="s">
        <v>22</v>
      </c>
      <c r="H23" s="110"/>
      <c r="I23" s="109" t="s">
        <v>22</v>
      </c>
      <c r="J23" s="110"/>
    </row>
    <row r="24" spans="1:1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25">
      <c r="A26" s="11" t="s">
        <v>23</v>
      </c>
      <c r="B26" s="1"/>
      <c r="C26" s="1"/>
      <c r="D26" s="1"/>
      <c r="E26" s="1"/>
      <c r="F26" s="1"/>
      <c r="G26" s="1"/>
      <c r="H26" s="1"/>
      <c r="I26" s="1"/>
      <c r="J26" s="1"/>
    </row>
    <row r="27" spans="1:10" ht="15.75" thickBo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6.5" thickBot="1" x14ac:dyDescent="0.3">
      <c r="A28" s="93"/>
      <c r="B28" s="94"/>
      <c r="C28" s="103" t="s">
        <v>24</v>
      </c>
      <c r="D28" s="104"/>
      <c r="E28" s="105" t="s">
        <v>25</v>
      </c>
      <c r="F28" s="104"/>
      <c r="G28" s="105" t="s">
        <v>26</v>
      </c>
      <c r="H28" s="104"/>
      <c r="I28" s="105" t="s">
        <v>27</v>
      </c>
      <c r="J28" s="106"/>
    </row>
    <row r="29" spans="1:10" ht="15.75" thickBot="1" x14ac:dyDescent="0.3">
      <c r="A29" s="95"/>
      <c r="B29" s="96"/>
      <c r="C29" s="16" t="s">
        <v>14</v>
      </c>
      <c r="D29" s="23" t="s">
        <v>15</v>
      </c>
      <c r="E29" s="16" t="s">
        <v>14</v>
      </c>
      <c r="F29" s="23" t="s">
        <v>15</v>
      </c>
      <c r="G29" s="16" t="s">
        <v>14</v>
      </c>
      <c r="H29" s="23" t="s">
        <v>15</v>
      </c>
      <c r="I29" s="16" t="s">
        <v>14</v>
      </c>
      <c r="J29" s="24" t="s">
        <v>15</v>
      </c>
    </row>
    <row r="30" spans="1:10" ht="30.95" customHeight="1" thickBot="1" x14ac:dyDescent="0.3">
      <c r="A30" s="80" t="s">
        <v>28</v>
      </c>
      <c r="B30" s="81"/>
      <c r="C30" s="25">
        <v>2.38</v>
      </c>
      <c r="D30" s="26">
        <v>15.29</v>
      </c>
      <c r="E30" s="25">
        <v>2.44</v>
      </c>
      <c r="F30" s="26">
        <v>13.67</v>
      </c>
      <c r="G30" s="25">
        <v>2.27</v>
      </c>
      <c r="H30" s="26">
        <v>13.67</v>
      </c>
      <c r="I30" s="25">
        <v>2.15</v>
      </c>
      <c r="J30" s="27">
        <v>13.35</v>
      </c>
    </row>
    <row r="31" spans="1:10" ht="30.95" customHeight="1" thickBot="1" x14ac:dyDescent="0.3">
      <c r="A31" s="80" t="s">
        <v>17</v>
      </c>
      <c r="B31" s="81"/>
      <c r="C31" s="111">
        <f>D30-C30</f>
        <v>12.91</v>
      </c>
      <c r="D31" s="112"/>
      <c r="E31" s="111">
        <f>F30-E30</f>
        <v>11.23</v>
      </c>
      <c r="F31" s="112"/>
      <c r="G31" s="111">
        <f>H30-G30</f>
        <v>11.4</v>
      </c>
      <c r="H31" s="112"/>
      <c r="I31" s="111">
        <f>J30-I30</f>
        <v>11.2</v>
      </c>
      <c r="J31" s="112"/>
    </row>
    <row r="32" spans="1:10" ht="19.5" thickBot="1" x14ac:dyDescent="0.3">
      <c r="A32" s="80" t="s">
        <v>1</v>
      </c>
      <c r="B32" s="81"/>
      <c r="C32" s="84" t="s">
        <v>29</v>
      </c>
      <c r="D32" s="85"/>
      <c r="E32" s="84" t="s">
        <v>29</v>
      </c>
      <c r="F32" s="85"/>
      <c r="G32" s="84" t="s">
        <v>29</v>
      </c>
      <c r="H32" s="85"/>
      <c r="I32" s="84" t="s">
        <v>29</v>
      </c>
      <c r="J32" s="85"/>
    </row>
    <row r="33" spans="1:10" ht="30.95" customHeight="1" thickBot="1" x14ac:dyDescent="0.3">
      <c r="A33" s="80" t="s">
        <v>30</v>
      </c>
      <c r="B33" s="81"/>
      <c r="C33" s="117">
        <f>$F$12</f>
        <v>8142.0427081277012</v>
      </c>
      <c r="D33" s="118"/>
      <c r="E33" s="117">
        <f t="shared" ref="E33" si="4">$F$12</f>
        <v>8142.0427081277012</v>
      </c>
      <c r="F33" s="118"/>
      <c r="G33" s="117">
        <f t="shared" ref="G33" si="5">$F$12</f>
        <v>8142.0427081277012</v>
      </c>
      <c r="H33" s="118"/>
      <c r="I33" s="117">
        <f t="shared" ref="I33" si="6">$F$12</f>
        <v>8142.0427081277012</v>
      </c>
      <c r="J33" s="118"/>
    </row>
    <row r="34" spans="1:10" ht="15.6" customHeight="1" thickBot="1" x14ac:dyDescent="0.3">
      <c r="A34" s="113" t="s">
        <v>31</v>
      </c>
      <c r="B34" s="114"/>
      <c r="C34" s="103">
        <f>ROUND(C31/C33*10000,2)</f>
        <v>15.86</v>
      </c>
      <c r="D34" s="106"/>
      <c r="E34" s="103">
        <f>ROUND(E31/E33*10000,2)</f>
        <v>13.79</v>
      </c>
      <c r="F34" s="106"/>
      <c r="G34" s="103">
        <f>ROUND(G31/G33*10000,2)</f>
        <v>14</v>
      </c>
      <c r="H34" s="106"/>
      <c r="I34" s="103">
        <f>ROUND(I31/I33*10000,2)</f>
        <v>13.76</v>
      </c>
      <c r="J34" s="106"/>
    </row>
    <row r="35" spans="1:10" ht="30.95" customHeight="1" thickBot="1" x14ac:dyDescent="0.3">
      <c r="A35" s="113" t="s">
        <v>32</v>
      </c>
      <c r="B35" s="114"/>
      <c r="C35" s="115" t="s">
        <v>33</v>
      </c>
      <c r="D35" s="116"/>
      <c r="E35" s="115" t="s">
        <v>33</v>
      </c>
      <c r="F35" s="116"/>
      <c r="G35" s="115" t="s">
        <v>33</v>
      </c>
      <c r="H35" s="116"/>
      <c r="I35" s="115" t="s">
        <v>33</v>
      </c>
      <c r="J35" s="116"/>
    </row>
    <row r="36" spans="1:1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</row>
    <row r="38" spans="1:10" ht="15.75" x14ac:dyDescent="0.25">
      <c r="A38" s="1"/>
      <c r="B38" s="1"/>
      <c r="C38" s="1"/>
      <c r="D38" s="1"/>
      <c r="F38" s="1"/>
      <c r="G38" s="1"/>
      <c r="H38" s="1"/>
      <c r="I38" s="28"/>
      <c r="J38" s="1"/>
    </row>
    <row r="39" spans="1:10" ht="18.75" x14ac:dyDescent="0.3">
      <c r="A39" s="1"/>
      <c r="B39" s="1"/>
      <c r="C39" s="1"/>
      <c r="D39" s="1"/>
      <c r="E39" s="2" t="s">
        <v>0</v>
      </c>
      <c r="F39" s="1"/>
      <c r="G39" s="1"/>
      <c r="H39" s="1"/>
      <c r="I39" s="1"/>
      <c r="J39" s="1"/>
    </row>
    <row r="40" spans="1:10" ht="18.75" x14ac:dyDescent="0.3">
      <c r="A40" s="1"/>
      <c r="B40" s="1"/>
      <c r="C40" s="1"/>
      <c r="D40" s="1"/>
      <c r="E40" s="2" t="s">
        <v>54</v>
      </c>
      <c r="F40" s="2"/>
      <c r="G40" s="1"/>
      <c r="H40" s="1"/>
      <c r="I40" s="1"/>
      <c r="J40" s="1"/>
    </row>
    <row r="41" spans="1:10" x14ac:dyDescent="0.25">
      <c r="B41" s="1"/>
      <c r="C41" s="1"/>
      <c r="D41" s="1"/>
      <c r="F41" s="1"/>
      <c r="G41" s="1"/>
      <c r="H41" s="1"/>
      <c r="I41" s="1"/>
      <c r="J41" s="1"/>
    </row>
    <row r="42" spans="1:10" x14ac:dyDescent="0.25">
      <c r="A42" s="3" t="s">
        <v>47</v>
      </c>
      <c r="B42" s="1"/>
      <c r="C42" s="1"/>
      <c r="D42" s="1"/>
      <c r="E42" s="1"/>
      <c r="F42" s="1"/>
      <c r="G42" s="1"/>
      <c r="H42" s="1"/>
      <c r="I42" s="1"/>
      <c r="J42" s="1"/>
    </row>
    <row r="43" spans="1:10" ht="15.75" thickBot="1" x14ac:dyDescent="0.3"/>
    <row r="44" spans="1:10" ht="15.75" thickBot="1" x14ac:dyDescent="0.3">
      <c r="B44" s="86" t="s">
        <v>52</v>
      </c>
      <c r="C44" s="86"/>
      <c r="D44" s="86" t="s">
        <v>50</v>
      </c>
      <c r="E44" s="86"/>
      <c r="F44" s="86" t="s">
        <v>51</v>
      </c>
      <c r="G44" s="86"/>
    </row>
    <row r="45" spans="1:10" ht="15.75" thickBot="1" x14ac:dyDescent="0.3">
      <c r="B45" s="87">
        <v>1</v>
      </c>
      <c r="C45" s="87"/>
      <c r="D45" s="87">
        <v>999</v>
      </c>
      <c r="E45" s="87"/>
      <c r="F45" s="87">
        <v>96</v>
      </c>
      <c r="G45" s="87"/>
    </row>
    <row r="46" spans="1:10" ht="15.75" thickBot="1" x14ac:dyDescent="0.3"/>
    <row r="47" spans="1:10" ht="39" thickBot="1" x14ac:dyDescent="0.3">
      <c r="A47" s="4" t="s">
        <v>1</v>
      </c>
      <c r="B47" s="5" t="s">
        <v>2</v>
      </c>
      <c r="C47" s="6" t="s">
        <v>3</v>
      </c>
      <c r="D47" s="88" t="s">
        <v>4</v>
      </c>
      <c r="E47" s="89"/>
      <c r="F47" s="88" t="s">
        <v>55</v>
      </c>
      <c r="G47" s="89"/>
    </row>
    <row r="48" spans="1:10" ht="16.5" thickBot="1" x14ac:dyDescent="0.3">
      <c r="A48" s="7" t="s">
        <v>5</v>
      </c>
      <c r="B48" s="8" t="s">
        <v>6</v>
      </c>
      <c r="C48" s="9">
        <f>$O$4</f>
        <v>850</v>
      </c>
      <c r="D48" s="76">
        <v>43504</v>
      </c>
      <c r="E48" s="77"/>
      <c r="F48" s="78">
        <f>$O$5</f>
        <v>834.54174917342175</v>
      </c>
      <c r="G48" s="119"/>
    </row>
    <row r="49" spans="1:13" ht="16.5" thickBot="1" x14ac:dyDescent="0.3">
      <c r="A49" s="7" t="s">
        <v>7</v>
      </c>
      <c r="B49" s="8" t="s">
        <v>8</v>
      </c>
      <c r="C49" s="10">
        <f>$O$6</f>
        <v>9840</v>
      </c>
      <c r="D49" s="76">
        <v>43531</v>
      </c>
      <c r="E49" s="77"/>
      <c r="F49" s="78">
        <f>$O$7</f>
        <v>8142.0427081277012</v>
      </c>
      <c r="G49" s="119"/>
    </row>
    <row r="51" spans="1:13" x14ac:dyDescent="0.25">
      <c r="A51" s="11" t="s">
        <v>9</v>
      </c>
      <c r="B51" s="1"/>
      <c r="C51" s="1"/>
      <c r="D51" s="1"/>
      <c r="E51" s="1"/>
      <c r="F51" s="1"/>
      <c r="G51" s="1"/>
      <c r="H51" s="1"/>
      <c r="I51" s="1"/>
      <c r="J51" s="1"/>
    </row>
    <row r="52" spans="1:13" ht="15.75" thickBot="1" x14ac:dyDescent="0.3">
      <c r="A52" s="12"/>
      <c r="B52" s="12"/>
      <c r="C52" s="29"/>
      <c r="D52" s="29"/>
      <c r="E52" s="29"/>
      <c r="F52" s="29"/>
      <c r="G52" s="29"/>
      <c r="H52" s="29"/>
      <c r="I52" s="29"/>
      <c r="J52" s="29"/>
    </row>
    <row r="53" spans="1:13" ht="16.5" thickBot="1" x14ac:dyDescent="0.3">
      <c r="A53" s="93"/>
      <c r="B53" s="94"/>
      <c r="C53" s="103" t="s">
        <v>10</v>
      </c>
      <c r="D53" s="104"/>
      <c r="E53" s="105" t="s">
        <v>11</v>
      </c>
      <c r="F53" s="104"/>
      <c r="G53" s="105" t="s">
        <v>12</v>
      </c>
      <c r="H53" s="104"/>
      <c r="I53" s="105" t="s">
        <v>13</v>
      </c>
      <c r="J53" s="106"/>
    </row>
    <row r="54" spans="1:13" ht="15.75" thickBot="1" x14ac:dyDescent="0.3">
      <c r="A54" s="95"/>
      <c r="B54" s="96"/>
      <c r="C54" s="13" t="s">
        <v>14</v>
      </c>
      <c r="D54" s="14" t="s">
        <v>15</v>
      </c>
      <c r="E54" s="15" t="s">
        <v>14</v>
      </c>
      <c r="F54" s="16" t="s">
        <v>15</v>
      </c>
      <c r="G54" s="17" t="s">
        <v>14</v>
      </c>
      <c r="H54" s="14" t="s">
        <v>15</v>
      </c>
      <c r="I54" s="18" t="s">
        <v>14</v>
      </c>
      <c r="J54" s="19" t="s">
        <v>15</v>
      </c>
    </row>
    <row r="55" spans="1:13" ht="30.95" customHeight="1" thickBot="1" x14ac:dyDescent="0.3">
      <c r="A55" s="80" t="s">
        <v>16</v>
      </c>
      <c r="B55" s="81"/>
      <c r="C55" s="20">
        <v>807</v>
      </c>
      <c r="D55" s="21">
        <v>1858</v>
      </c>
      <c r="E55" s="22">
        <v>817</v>
      </c>
      <c r="F55" s="21">
        <v>1540</v>
      </c>
      <c r="G55" s="22">
        <v>857</v>
      </c>
      <c r="H55" s="21">
        <v>1947</v>
      </c>
      <c r="I55" s="22">
        <v>793</v>
      </c>
      <c r="J55" s="21">
        <v>1518</v>
      </c>
    </row>
    <row r="56" spans="1:13" ht="30.95" customHeight="1" thickBot="1" x14ac:dyDescent="0.3">
      <c r="A56" s="80" t="s">
        <v>17</v>
      </c>
      <c r="B56" s="81"/>
      <c r="C56" s="82">
        <f>D55-C55</f>
        <v>1051</v>
      </c>
      <c r="D56" s="83"/>
      <c r="E56" s="82">
        <f>F55-E55</f>
        <v>723</v>
      </c>
      <c r="F56" s="83"/>
      <c r="G56" s="82">
        <f>H55-G55</f>
        <v>1090</v>
      </c>
      <c r="H56" s="83"/>
      <c r="I56" s="82">
        <f>J55-I55</f>
        <v>725</v>
      </c>
      <c r="J56" s="83"/>
    </row>
    <row r="57" spans="1:13" ht="19.5" thickBot="1" x14ac:dyDescent="0.3">
      <c r="A57" s="80" t="s">
        <v>1</v>
      </c>
      <c r="B57" s="81"/>
      <c r="C57" s="84" t="s">
        <v>18</v>
      </c>
      <c r="D57" s="85"/>
      <c r="E57" s="84" t="s">
        <v>18</v>
      </c>
      <c r="F57" s="85"/>
      <c r="G57" s="84" t="s">
        <v>18</v>
      </c>
      <c r="H57" s="85"/>
      <c r="I57" s="84" t="s">
        <v>18</v>
      </c>
      <c r="J57" s="85"/>
    </row>
    <row r="58" spans="1:13" ht="30.95" customHeight="1" thickBot="1" x14ac:dyDescent="0.3">
      <c r="A58" s="80" t="s">
        <v>19</v>
      </c>
      <c r="B58" s="81"/>
      <c r="C58" s="101">
        <f>$F$48/1000</f>
        <v>0.83454174917342172</v>
      </c>
      <c r="D58" s="102"/>
      <c r="E58" s="101">
        <f t="shared" ref="E58" si="7">$F$48/1000</f>
        <v>0.83454174917342172</v>
      </c>
      <c r="F58" s="102"/>
      <c r="G58" s="101">
        <f t="shared" ref="G58" si="8">$F$48/1000</f>
        <v>0.83454174917342172</v>
      </c>
      <c r="H58" s="102"/>
      <c r="I58" s="101">
        <f t="shared" ref="I58" si="9">$F$48/1000</f>
        <v>0.83454174917342172</v>
      </c>
      <c r="J58" s="102"/>
      <c r="M58" t="s">
        <v>48</v>
      </c>
    </row>
    <row r="59" spans="1:13" ht="16.5" thickBot="1" x14ac:dyDescent="0.3">
      <c r="A59" s="80" t="s">
        <v>20</v>
      </c>
      <c r="B59" s="81"/>
      <c r="C59" s="107">
        <f>ROUND(C56/C58,2)</f>
        <v>1259.3699999999999</v>
      </c>
      <c r="D59" s="108"/>
      <c r="E59" s="107">
        <f>ROUND(E56/E58,2)</f>
        <v>866.34</v>
      </c>
      <c r="F59" s="108"/>
      <c r="G59" s="107">
        <f>ROUND(G56/G58,2)</f>
        <v>1306.1099999999999</v>
      </c>
      <c r="H59" s="108"/>
      <c r="I59" s="107">
        <f>ROUND(I56/I58,2)</f>
        <v>868.74</v>
      </c>
      <c r="J59" s="108"/>
    </row>
    <row r="60" spans="1:13" ht="30.95" customHeight="1" thickBot="1" x14ac:dyDescent="0.3">
      <c r="A60" s="80" t="s">
        <v>21</v>
      </c>
      <c r="B60" s="81"/>
      <c r="C60" s="109" t="s">
        <v>22</v>
      </c>
      <c r="D60" s="110"/>
      <c r="E60" s="109" t="s">
        <v>22</v>
      </c>
      <c r="F60" s="110"/>
      <c r="G60" s="109" t="s">
        <v>22</v>
      </c>
      <c r="H60" s="110"/>
      <c r="I60" s="109" t="s">
        <v>22</v>
      </c>
      <c r="J60" s="110"/>
    </row>
    <row r="61" spans="1:13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3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3" x14ac:dyDescent="0.25">
      <c r="A63" s="11" t="s">
        <v>23</v>
      </c>
      <c r="B63" s="1"/>
      <c r="C63" s="1"/>
      <c r="D63" s="1"/>
      <c r="E63" s="1"/>
      <c r="F63" s="1"/>
      <c r="G63" s="1"/>
      <c r="H63" s="1"/>
      <c r="I63" s="1"/>
      <c r="J63" s="1"/>
    </row>
    <row r="64" spans="1:13" ht="15.75" thickBo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ht="16.5" thickBot="1" x14ac:dyDescent="0.3">
      <c r="A65" s="93"/>
      <c r="B65" s="94"/>
      <c r="C65" s="103" t="s">
        <v>24</v>
      </c>
      <c r="D65" s="104"/>
      <c r="E65" s="105" t="s">
        <v>25</v>
      </c>
      <c r="F65" s="104"/>
      <c r="G65" s="105" t="s">
        <v>26</v>
      </c>
      <c r="H65" s="104"/>
      <c r="I65" s="105" t="s">
        <v>27</v>
      </c>
      <c r="J65" s="106"/>
    </row>
    <row r="66" spans="1:10" ht="15.75" thickBot="1" x14ac:dyDescent="0.3">
      <c r="A66" s="95"/>
      <c r="B66" s="96"/>
      <c r="C66" s="16" t="s">
        <v>14</v>
      </c>
      <c r="D66" s="23" t="s">
        <v>15</v>
      </c>
      <c r="E66" s="16" t="s">
        <v>14</v>
      </c>
      <c r="F66" s="23" t="s">
        <v>15</v>
      </c>
      <c r="G66" s="16" t="s">
        <v>14</v>
      </c>
      <c r="H66" s="23" t="s">
        <v>15</v>
      </c>
      <c r="I66" s="16" t="s">
        <v>14</v>
      </c>
      <c r="J66" s="24" t="s">
        <v>15</v>
      </c>
    </row>
    <row r="67" spans="1:10" ht="30.95" customHeight="1" thickBot="1" x14ac:dyDescent="0.3">
      <c r="A67" s="80" t="s">
        <v>28</v>
      </c>
      <c r="B67" s="81"/>
      <c r="C67" s="25">
        <v>2.15</v>
      </c>
      <c r="D67" s="26">
        <v>15.01</v>
      </c>
      <c r="E67" s="25">
        <v>2.6</v>
      </c>
      <c r="F67" s="26">
        <v>14.18</v>
      </c>
      <c r="G67" s="25">
        <v>2.0499999999999998</v>
      </c>
      <c r="H67" s="26">
        <v>15.82</v>
      </c>
      <c r="I67" s="25">
        <v>2.0699999999999998</v>
      </c>
      <c r="J67" s="27">
        <v>12.17</v>
      </c>
    </row>
    <row r="68" spans="1:10" ht="30.95" customHeight="1" thickBot="1" x14ac:dyDescent="0.3">
      <c r="A68" s="80" t="s">
        <v>17</v>
      </c>
      <c r="B68" s="81"/>
      <c r="C68" s="111">
        <f>D67-C67</f>
        <v>12.86</v>
      </c>
      <c r="D68" s="112"/>
      <c r="E68" s="111">
        <f>F67-E67</f>
        <v>11.58</v>
      </c>
      <c r="F68" s="112"/>
      <c r="G68" s="111">
        <f>H67-G67</f>
        <v>13.77</v>
      </c>
      <c r="H68" s="112"/>
      <c r="I68" s="111">
        <f>J67-I67</f>
        <v>10.1</v>
      </c>
      <c r="J68" s="112"/>
    </row>
    <row r="69" spans="1:10" ht="19.5" thickBot="1" x14ac:dyDescent="0.3">
      <c r="A69" s="80" t="s">
        <v>1</v>
      </c>
      <c r="B69" s="81"/>
      <c r="C69" s="84" t="s">
        <v>29</v>
      </c>
      <c r="D69" s="85"/>
      <c r="E69" s="84" t="s">
        <v>29</v>
      </c>
      <c r="F69" s="85"/>
      <c r="G69" s="84" t="s">
        <v>29</v>
      </c>
      <c r="H69" s="85"/>
      <c r="I69" s="84" t="s">
        <v>29</v>
      </c>
      <c r="J69" s="85"/>
    </row>
    <row r="70" spans="1:10" ht="30.95" customHeight="1" thickBot="1" x14ac:dyDescent="0.3">
      <c r="A70" s="80" t="s">
        <v>30</v>
      </c>
      <c r="B70" s="81"/>
      <c r="C70" s="117">
        <f>$F$49</f>
        <v>8142.0427081277012</v>
      </c>
      <c r="D70" s="118"/>
      <c r="E70" s="117">
        <f t="shared" ref="E70" si="10">$F$49</f>
        <v>8142.0427081277012</v>
      </c>
      <c r="F70" s="118"/>
      <c r="G70" s="117">
        <f t="shared" ref="G70" si="11">$F$49</f>
        <v>8142.0427081277012</v>
      </c>
      <c r="H70" s="118"/>
      <c r="I70" s="117">
        <f t="shared" ref="I70" si="12">$F$49</f>
        <v>8142.0427081277012</v>
      </c>
      <c r="J70" s="118"/>
    </row>
    <row r="71" spans="1:10" ht="16.5" thickBot="1" x14ac:dyDescent="0.3">
      <c r="A71" s="113" t="s">
        <v>31</v>
      </c>
      <c r="B71" s="114"/>
      <c r="C71" s="103">
        <f>ROUND(C68/C70*10000,2)</f>
        <v>15.79</v>
      </c>
      <c r="D71" s="106"/>
      <c r="E71" s="103">
        <f>ROUND(E68/E70*10000,2)</f>
        <v>14.22</v>
      </c>
      <c r="F71" s="106"/>
      <c r="G71" s="103">
        <f>ROUND(G68/G70*10000,2)</f>
        <v>16.91</v>
      </c>
      <c r="H71" s="106"/>
      <c r="I71" s="103">
        <f>ROUND(I68/I70*10000,2)</f>
        <v>12.4</v>
      </c>
      <c r="J71" s="106"/>
    </row>
    <row r="72" spans="1:10" ht="30.95" customHeight="1" thickBot="1" x14ac:dyDescent="0.3">
      <c r="A72" s="113" t="s">
        <v>32</v>
      </c>
      <c r="B72" s="114"/>
      <c r="C72" s="115" t="s">
        <v>33</v>
      </c>
      <c r="D72" s="116"/>
      <c r="E72" s="115" t="s">
        <v>33</v>
      </c>
      <c r="F72" s="116"/>
      <c r="G72" s="115" t="s">
        <v>33</v>
      </c>
      <c r="H72" s="116"/>
      <c r="I72" s="115" t="s">
        <v>33</v>
      </c>
      <c r="J72" s="116"/>
    </row>
    <row r="75" spans="1:10" ht="15.75" x14ac:dyDescent="0.25">
      <c r="A75" s="1"/>
      <c r="B75" s="1"/>
      <c r="C75" s="1"/>
      <c r="D75" s="1"/>
      <c r="F75" s="1"/>
      <c r="G75" s="1"/>
      <c r="H75" s="1"/>
      <c r="I75" s="28"/>
      <c r="J75" s="1"/>
    </row>
    <row r="76" spans="1:10" ht="18.75" x14ac:dyDescent="0.3">
      <c r="A76" s="1"/>
      <c r="B76" s="1"/>
      <c r="C76" s="1"/>
      <c r="D76" s="1"/>
      <c r="E76" s="2"/>
      <c r="F76" s="1"/>
      <c r="G76" s="1"/>
      <c r="H76" s="1"/>
      <c r="I76" s="1"/>
      <c r="J76" s="1"/>
    </row>
    <row r="77" spans="1:10" ht="18.75" x14ac:dyDescent="0.3">
      <c r="A77" s="1"/>
      <c r="B77" s="1"/>
      <c r="C77" s="1"/>
      <c r="D77" s="1"/>
      <c r="E77" s="2"/>
      <c r="F77" s="2"/>
      <c r="G77" s="1"/>
      <c r="H77" s="1"/>
      <c r="I77" s="1"/>
      <c r="J77" s="1"/>
    </row>
    <row r="78" spans="1:10" x14ac:dyDescent="0.25">
      <c r="B78" s="1"/>
      <c r="C78" s="1"/>
      <c r="D78" s="1"/>
      <c r="F78" s="1"/>
      <c r="G78" s="1"/>
      <c r="H78" s="1"/>
      <c r="I78" s="1"/>
      <c r="J78" s="1"/>
    </row>
    <row r="79" spans="1:10" x14ac:dyDescent="0.25">
      <c r="A79" s="3"/>
      <c r="B79" s="1"/>
      <c r="C79" s="1"/>
      <c r="D79" s="1"/>
      <c r="E79" s="1"/>
      <c r="F79" s="1"/>
      <c r="G79" s="1"/>
      <c r="H79" s="1"/>
      <c r="I79" s="1"/>
      <c r="J79" s="1"/>
    </row>
    <row r="92" ht="38.1" customHeight="1" x14ac:dyDescent="0.25"/>
    <row r="93" ht="38.1" customHeight="1" x14ac:dyDescent="0.25"/>
    <row r="94" ht="18.600000000000001" customHeight="1" x14ac:dyDescent="0.25"/>
    <row r="95" ht="25.5" customHeight="1" x14ac:dyDescent="0.25"/>
    <row r="96" ht="23.1" customHeight="1" x14ac:dyDescent="0.25"/>
    <row r="97" ht="27.6" customHeight="1" x14ac:dyDescent="0.25"/>
    <row r="104" ht="52.5" customHeight="1" x14ac:dyDescent="0.25"/>
    <row r="105" ht="43.5" customHeight="1" x14ac:dyDescent="0.25"/>
    <row r="106" ht="35.450000000000003" customHeight="1" x14ac:dyDescent="0.25"/>
    <row r="107" ht="36.6" customHeight="1" x14ac:dyDescent="0.25"/>
    <row r="108" ht="27.6" customHeight="1" x14ac:dyDescent="0.25"/>
    <row r="109" ht="35.450000000000003" customHeight="1" x14ac:dyDescent="0.25"/>
  </sheetData>
  <mergeCells count="158">
    <mergeCell ref="R2:S2"/>
    <mergeCell ref="M4:M5"/>
    <mergeCell ref="R4:S4"/>
    <mergeCell ref="M6:M7"/>
    <mergeCell ref="R6:S6"/>
    <mergeCell ref="A72:B72"/>
    <mergeCell ref="C72:D72"/>
    <mergeCell ref="E72:F72"/>
    <mergeCell ref="G72:H72"/>
    <mergeCell ref="I72:J72"/>
    <mergeCell ref="M2:M3"/>
    <mergeCell ref="A70:B70"/>
    <mergeCell ref="C70:D70"/>
    <mergeCell ref="E70:F70"/>
    <mergeCell ref="G70:H70"/>
    <mergeCell ref="I70:J70"/>
    <mergeCell ref="A71:B71"/>
    <mergeCell ref="C71:D71"/>
    <mergeCell ref="E71:F71"/>
    <mergeCell ref="G71:H71"/>
    <mergeCell ref="I71:J71"/>
    <mergeCell ref="A68:B68"/>
    <mergeCell ref="C68:D68"/>
    <mergeCell ref="E68:F68"/>
    <mergeCell ref="G68:H68"/>
    <mergeCell ref="I68:J68"/>
    <mergeCell ref="A69:B69"/>
    <mergeCell ref="C69:D69"/>
    <mergeCell ref="E69:F69"/>
    <mergeCell ref="G69:H69"/>
    <mergeCell ref="I69:J69"/>
    <mergeCell ref="A65:B66"/>
    <mergeCell ref="C65:D65"/>
    <mergeCell ref="E65:F65"/>
    <mergeCell ref="G65:H65"/>
    <mergeCell ref="I65:J65"/>
    <mergeCell ref="A67:B67"/>
    <mergeCell ref="A59:B59"/>
    <mergeCell ref="C59:D59"/>
    <mergeCell ref="E59:F59"/>
    <mergeCell ref="G59:H59"/>
    <mergeCell ref="I59:J59"/>
    <mergeCell ref="A60:B60"/>
    <mergeCell ref="C60:D60"/>
    <mergeCell ref="E60:F60"/>
    <mergeCell ref="G60:H60"/>
    <mergeCell ref="I60:J60"/>
    <mergeCell ref="A57:B57"/>
    <mergeCell ref="C57:D57"/>
    <mergeCell ref="E57:F57"/>
    <mergeCell ref="G57:H57"/>
    <mergeCell ref="I57:J57"/>
    <mergeCell ref="A58:B58"/>
    <mergeCell ref="C58:D58"/>
    <mergeCell ref="E58:F58"/>
    <mergeCell ref="G58:H58"/>
    <mergeCell ref="I58:J58"/>
    <mergeCell ref="I53:J53"/>
    <mergeCell ref="A55:B55"/>
    <mergeCell ref="A56:B56"/>
    <mergeCell ref="C56:D56"/>
    <mergeCell ref="E56:F56"/>
    <mergeCell ref="G56:H56"/>
    <mergeCell ref="I56:J56"/>
    <mergeCell ref="D48:E48"/>
    <mergeCell ref="F48:G48"/>
    <mergeCell ref="D49:E49"/>
    <mergeCell ref="F49:G49"/>
    <mergeCell ref="A53:B54"/>
    <mergeCell ref="C53:D53"/>
    <mergeCell ref="E53:F53"/>
    <mergeCell ref="G53:H53"/>
    <mergeCell ref="A35:B35"/>
    <mergeCell ref="C35:D35"/>
    <mergeCell ref="E35:F35"/>
    <mergeCell ref="G35:H35"/>
    <mergeCell ref="I35:J35"/>
    <mergeCell ref="D47:E47"/>
    <mergeCell ref="F47:G47"/>
    <mergeCell ref="A33:B33"/>
    <mergeCell ref="C33:D33"/>
    <mergeCell ref="E33:F33"/>
    <mergeCell ref="G33:H33"/>
    <mergeCell ref="I33:J33"/>
    <mergeCell ref="A34:B34"/>
    <mergeCell ref="C34:D34"/>
    <mergeCell ref="E34:F34"/>
    <mergeCell ref="G34:H34"/>
    <mergeCell ref="I34:J34"/>
    <mergeCell ref="B45:C45"/>
    <mergeCell ref="D45:E45"/>
    <mergeCell ref="F45:G45"/>
    <mergeCell ref="B44:C44"/>
    <mergeCell ref="D44:E44"/>
    <mergeCell ref="F44:G44"/>
    <mergeCell ref="A31:B31"/>
    <mergeCell ref="C31:D31"/>
    <mergeCell ref="E31:F31"/>
    <mergeCell ref="G31:H31"/>
    <mergeCell ref="I31:J31"/>
    <mergeCell ref="A32:B32"/>
    <mergeCell ref="C32:D32"/>
    <mergeCell ref="E32:F32"/>
    <mergeCell ref="G32:H32"/>
    <mergeCell ref="I32:J32"/>
    <mergeCell ref="A30:B30"/>
    <mergeCell ref="A22:B22"/>
    <mergeCell ref="C22:D22"/>
    <mergeCell ref="E22:F22"/>
    <mergeCell ref="G22:H22"/>
    <mergeCell ref="I22:J22"/>
    <mergeCell ref="A23:B23"/>
    <mergeCell ref="C23:D23"/>
    <mergeCell ref="E23:F23"/>
    <mergeCell ref="G23:H23"/>
    <mergeCell ref="I23:J23"/>
    <mergeCell ref="I20:J20"/>
    <mergeCell ref="A21:B21"/>
    <mergeCell ref="C21:D21"/>
    <mergeCell ref="E21:F21"/>
    <mergeCell ref="G21:H21"/>
    <mergeCell ref="I21:J21"/>
    <mergeCell ref="A28:B29"/>
    <mergeCell ref="C28:D28"/>
    <mergeCell ref="E28:F28"/>
    <mergeCell ref="G28:H28"/>
    <mergeCell ref="I28:J28"/>
    <mergeCell ref="I19:J19"/>
    <mergeCell ref="C15:D15"/>
    <mergeCell ref="E15:F15"/>
    <mergeCell ref="G15:H15"/>
    <mergeCell ref="I15:J15"/>
    <mergeCell ref="A16:B17"/>
    <mergeCell ref="C16:D16"/>
    <mergeCell ref="E16:F16"/>
    <mergeCell ref="G16:H16"/>
    <mergeCell ref="I16:J16"/>
    <mergeCell ref="B7:C7"/>
    <mergeCell ref="D7:E7"/>
    <mergeCell ref="F7:G7"/>
    <mergeCell ref="B8:C8"/>
    <mergeCell ref="D8:E8"/>
    <mergeCell ref="F8:G8"/>
    <mergeCell ref="D10:E10"/>
    <mergeCell ref="F10:G10"/>
    <mergeCell ref="D11:E11"/>
    <mergeCell ref="F11:G11"/>
    <mergeCell ref="D12:E12"/>
    <mergeCell ref="F12:G12"/>
    <mergeCell ref="A18:B18"/>
    <mergeCell ref="A19:B19"/>
    <mergeCell ref="C19:D19"/>
    <mergeCell ref="E19:F19"/>
    <mergeCell ref="G19:H19"/>
    <mergeCell ref="A20:B20"/>
    <mergeCell ref="C20:D20"/>
    <mergeCell ref="E20:F20"/>
    <mergeCell ref="G20:H20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3"/>
  <sheetViews>
    <sheetView tabSelected="1" topLeftCell="A7" zoomScale="80" zoomScaleNormal="80" workbookViewId="0">
      <selection activeCell="G4" sqref="G4"/>
    </sheetView>
  </sheetViews>
  <sheetFormatPr defaultRowHeight="15" x14ac:dyDescent="0.25"/>
  <cols>
    <col min="2" max="2" width="24.85546875" customWidth="1"/>
    <col min="3" max="3" width="12.5703125" customWidth="1"/>
    <col min="4" max="4" width="10" customWidth="1"/>
    <col min="5" max="5" width="12.28515625" customWidth="1"/>
    <col min="6" max="6" width="11.42578125" customWidth="1"/>
    <col min="7" max="7" width="13.5703125" customWidth="1"/>
    <col min="15" max="15" width="16.140625" customWidth="1"/>
    <col min="17" max="17" width="16.5703125" customWidth="1"/>
  </cols>
  <sheetData>
    <row r="1" spans="1:10" x14ac:dyDescent="0.25">
      <c r="A1" s="47"/>
      <c r="B1" s="47"/>
      <c r="C1" s="47"/>
      <c r="D1" s="47"/>
      <c r="E1" s="47"/>
      <c r="F1" s="47"/>
      <c r="G1" s="47"/>
      <c r="H1" s="47"/>
    </row>
    <row r="2" spans="1:10" ht="18.75" x14ac:dyDescent="0.3">
      <c r="A2" s="47"/>
      <c r="B2" s="47"/>
      <c r="C2" s="2" t="s">
        <v>62</v>
      </c>
      <c r="D2" s="47"/>
      <c r="E2" s="47"/>
      <c r="F2" s="47"/>
      <c r="G2" s="47"/>
      <c r="H2" s="47"/>
    </row>
    <row r="3" spans="1:10" ht="18.75" x14ac:dyDescent="0.3">
      <c r="A3" s="47"/>
      <c r="B3" s="47"/>
      <c r="C3" s="2" t="s">
        <v>61</v>
      </c>
      <c r="D3" s="47"/>
      <c r="E3" s="47"/>
      <c r="F3" s="47" t="s">
        <v>65</v>
      </c>
      <c r="G3" s="74">
        <v>45121</v>
      </c>
      <c r="H3" s="47"/>
    </row>
    <row r="4" spans="1:10" ht="19.5" thickBot="1" x14ac:dyDescent="0.35">
      <c r="A4" s="47"/>
      <c r="B4" s="47"/>
      <c r="C4" s="2"/>
      <c r="D4" s="47"/>
      <c r="E4" s="47"/>
      <c r="F4" s="47"/>
      <c r="G4" s="65"/>
      <c r="H4" s="47"/>
    </row>
    <row r="5" spans="1:10" ht="17.25" thickBot="1" x14ac:dyDescent="0.35">
      <c r="A5" s="141" t="s">
        <v>63</v>
      </c>
      <c r="B5" s="66" t="s">
        <v>35</v>
      </c>
      <c r="C5" s="67">
        <v>2094</v>
      </c>
      <c r="D5" s="68" t="s">
        <v>64</v>
      </c>
      <c r="E5" s="69">
        <v>45061</v>
      </c>
      <c r="F5" s="120" t="s">
        <v>37</v>
      </c>
      <c r="G5" s="121"/>
    </row>
    <row r="6" spans="1:10" ht="18.600000000000001" customHeight="1" thickBot="1" x14ac:dyDescent="0.3">
      <c r="A6" s="142"/>
      <c r="B6" s="70" t="s">
        <v>38</v>
      </c>
      <c r="C6" s="71">
        <f>C5*EXP(-LN(2)*(E6-E5)/F6)</f>
        <v>2085.734972226956</v>
      </c>
      <c r="D6" s="72" t="s">
        <v>64</v>
      </c>
      <c r="E6" s="73">
        <f>G3</f>
        <v>45121</v>
      </c>
      <c r="F6" s="37">
        <v>10516</v>
      </c>
      <c r="G6" s="38" t="s">
        <v>39</v>
      </c>
      <c r="H6">
        <f>(E6-E5)/365</f>
        <v>0.16438356164383561</v>
      </c>
      <c r="I6" t="s">
        <v>40</v>
      </c>
    </row>
    <row r="7" spans="1:10" ht="17.25" thickBot="1" x14ac:dyDescent="0.35">
      <c r="A7" s="147" t="s">
        <v>63</v>
      </c>
      <c r="B7" s="66" t="s">
        <v>35</v>
      </c>
      <c r="C7" s="67">
        <v>365</v>
      </c>
      <c r="D7" s="68" t="s">
        <v>64</v>
      </c>
      <c r="E7" s="69">
        <v>44959</v>
      </c>
      <c r="F7" s="120" t="s">
        <v>37</v>
      </c>
      <c r="G7" s="121"/>
    </row>
    <row r="8" spans="1:10" ht="16.5" thickBot="1" x14ac:dyDescent="0.3">
      <c r="A8" s="142"/>
      <c r="B8" s="70" t="s">
        <v>38</v>
      </c>
      <c r="C8" s="71">
        <f>C7*EXP(-LN(2)*(E8-E7)/F8)</f>
        <v>361.12326488800028</v>
      </c>
      <c r="D8" s="72" t="s">
        <v>64</v>
      </c>
      <c r="E8" s="73">
        <f>G3</f>
        <v>45121</v>
      </c>
      <c r="F8" s="37">
        <v>10516</v>
      </c>
      <c r="G8" s="38" t="s">
        <v>39</v>
      </c>
      <c r="H8">
        <f>(E8-E7)/365</f>
        <v>0.44383561643835617</v>
      </c>
      <c r="I8" t="s">
        <v>40</v>
      </c>
      <c r="J8" s="1"/>
    </row>
    <row r="9" spans="1:10" ht="17.25" thickBot="1" x14ac:dyDescent="0.35">
      <c r="A9" s="148" t="s">
        <v>68</v>
      </c>
      <c r="B9" s="66" t="s">
        <v>35</v>
      </c>
      <c r="C9" s="67">
        <v>852</v>
      </c>
      <c r="D9" s="68" t="s">
        <v>36</v>
      </c>
      <c r="E9" s="69">
        <v>45061</v>
      </c>
      <c r="F9" s="120" t="s">
        <v>37</v>
      </c>
      <c r="G9" s="121"/>
      <c r="J9" s="1"/>
    </row>
    <row r="10" spans="1:10" ht="16.5" thickBot="1" x14ac:dyDescent="0.3">
      <c r="A10" s="149"/>
      <c r="B10" s="70" t="s">
        <v>38</v>
      </c>
      <c r="C10" s="71">
        <f>C9*EXP(-LN(2)*(E10-E9)/F10)</f>
        <v>851.77605479724525</v>
      </c>
      <c r="D10" s="72" t="s">
        <v>36</v>
      </c>
      <c r="E10" s="73">
        <f>G3</f>
        <v>45121</v>
      </c>
      <c r="F10" s="44">
        <v>158204</v>
      </c>
      <c r="G10" s="45" t="s">
        <v>39</v>
      </c>
      <c r="H10">
        <f t="shared" ref="H10" si="0">(E10-E9)/365</f>
        <v>0.16438356164383561</v>
      </c>
      <c r="I10" t="s">
        <v>40</v>
      </c>
      <c r="J10" s="1"/>
    </row>
    <row r="11" spans="1:10" ht="16.5" customHeight="1" x14ac:dyDescent="0.25">
      <c r="A11" s="62"/>
      <c r="B11" s="63"/>
      <c r="C11" s="64"/>
      <c r="D11" s="143"/>
      <c r="E11" s="144"/>
      <c r="F11" s="145"/>
      <c r="G11" s="146"/>
      <c r="H11" s="47"/>
    </row>
    <row r="12" spans="1:10" x14ac:dyDescent="0.25">
      <c r="A12" s="11" t="s">
        <v>66</v>
      </c>
      <c r="B12" s="47"/>
      <c r="C12" s="47"/>
      <c r="D12" s="47"/>
      <c r="E12" s="47"/>
      <c r="F12" s="47"/>
      <c r="G12" s="47"/>
      <c r="H12" s="47"/>
    </row>
    <row r="13" spans="1:10" ht="15.75" thickBot="1" x14ac:dyDescent="0.3">
      <c r="A13" s="47"/>
      <c r="B13" s="47"/>
      <c r="C13" s="47"/>
      <c r="D13" s="47"/>
      <c r="E13" s="47"/>
      <c r="F13" s="47"/>
      <c r="G13" s="47"/>
      <c r="H13" s="47"/>
    </row>
    <row r="14" spans="1:10" ht="16.5" thickBot="1" x14ac:dyDescent="0.3">
      <c r="A14" s="48"/>
      <c r="B14" s="49"/>
      <c r="C14" s="49"/>
      <c r="D14" s="131"/>
      <c r="E14" s="132"/>
      <c r="F14" s="131" t="s">
        <v>59</v>
      </c>
      <c r="G14" s="132"/>
      <c r="H14" s="47"/>
    </row>
    <row r="15" spans="1:10" x14ac:dyDescent="0.25">
      <c r="A15" s="50"/>
      <c r="B15" s="51"/>
      <c r="C15" s="51"/>
      <c r="D15" s="57"/>
      <c r="E15" s="58"/>
      <c r="F15" s="60" t="s">
        <v>14</v>
      </c>
      <c r="G15" s="61" t="s">
        <v>15</v>
      </c>
      <c r="H15" s="47"/>
    </row>
    <row r="16" spans="1:10" ht="16.5" thickBot="1" x14ac:dyDescent="0.3">
      <c r="A16" s="52" t="s">
        <v>58</v>
      </c>
      <c r="B16" s="53"/>
      <c r="C16" s="53"/>
      <c r="D16" s="55"/>
      <c r="E16" s="59"/>
      <c r="F16" s="55">
        <v>0</v>
      </c>
      <c r="G16" s="75">
        <v>98</v>
      </c>
      <c r="H16" s="47"/>
    </row>
    <row r="17" spans="1:8" ht="16.5" thickBot="1" x14ac:dyDescent="0.3">
      <c r="A17" s="52" t="s">
        <v>17</v>
      </c>
      <c r="B17" s="53"/>
      <c r="C17" s="53"/>
      <c r="D17" s="135"/>
      <c r="E17" s="83"/>
      <c r="F17" s="135">
        <f>G16-F16</f>
        <v>98</v>
      </c>
      <c r="G17" s="83"/>
      <c r="H17" s="47"/>
    </row>
    <row r="18" spans="1:8" ht="19.5" thickBot="1" x14ac:dyDescent="0.3">
      <c r="A18" s="52" t="s">
        <v>1</v>
      </c>
      <c r="B18" s="53"/>
      <c r="C18" s="53"/>
      <c r="D18" s="136"/>
      <c r="E18" s="137"/>
      <c r="F18" s="136" t="str">
        <f>A7</f>
        <v>90Sr</v>
      </c>
      <c r="G18" s="137"/>
      <c r="H18" s="47"/>
    </row>
    <row r="19" spans="1:8" ht="16.5" thickBot="1" x14ac:dyDescent="0.3">
      <c r="A19" s="52" t="s">
        <v>19</v>
      </c>
      <c r="B19" s="53"/>
      <c r="C19" s="53"/>
      <c r="D19" s="138"/>
      <c r="E19" s="139"/>
      <c r="F19" s="140">
        <f>C8</f>
        <v>361.12326488800028</v>
      </c>
      <c r="G19" s="102"/>
      <c r="H19" s="47"/>
    </row>
    <row r="20" spans="1:8" ht="16.5" thickBot="1" x14ac:dyDescent="0.3">
      <c r="A20" s="52" t="s">
        <v>20</v>
      </c>
      <c r="B20" s="53"/>
      <c r="C20" s="53"/>
      <c r="D20" s="126"/>
      <c r="E20" s="118"/>
      <c r="F20" s="127">
        <f>F17/F19</f>
        <v>0.27137548180506726</v>
      </c>
      <c r="G20" s="128"/>
      <c r="H20" s="47"/>
    </row>
    <row r="21" spans="1:8" ht="16.5" thickBot="1" x14ac:dyDescent="0.3">
      <c r="A21" s="52" t="s">
        <v>21</v>
      </c>
      <c r="B21" s="53"/>
      <c r="C21" s="53"/>
      <c r="D21" s="133"/>
      <c r="E21" s="134"/>
      <c r="F21" s="129" t="s">
        <v>67</v>
      </c>
      <c r="G21" s="130"/>
      <c r="H21" s="47"/>
    </row>
    <row r="22" spans="1:8" ht="15.75" thickBot="1" x14ac:dyDescent="0.3">
      <c r="A22" s="52" t="s">
        <v>57</v>
      </c>
      <c r="B22" s="53"/>
      <c r="C22" s="53"/>
      <c r="D22" s="56"/>
      <c r="E22" s="54"/>
      <c r="F22" s="124" t="s">
        <v>60</v>
      </c>
      <c r="G22" s="125"/>
      <c r="H22" s="47"/>
    </row>
    <row r="23" spans="1:8" x14ac:dyDescent="0.25">
      <c r="A23" s="47"/>
      <c r="B23" s="47"/>
      <c r="C23" s="47"/>
      <c r="D23" s="47"/>
      <c r="E23" s="47"/>
      <c r="F23" s="47"/>
      <c r="G23" s="47"/>
      <c r="H23" s="47"/>
    </row>
    <row r="24" spans="1:8" ht="15.75" thickBot="1" x14ac:dyDescent="0.3">
      <c r="A24" s="11" t="s">
        <v>69</v>
      </c>
      <c r="B24" s="47"/>
      <c r="C24" s="47"/>
      <c r="D24" s="47"/>
      <c r="E24" s="47"/>
      <c r="F24" s="47"/>
      <c r="G24" s="47"/>
      <c r="H24" s="47"/>
    </row>
    <row r="25" spans="1:8" ht="16.5" thickBot="1" x14ac:dyDescent="0.3">
      <c r="A25" s="48"/>
      <c r="B25" s="49"/>
      <c r="C25" s="49"/>
      <c r="D25" s="131"/>
      <c r="E25" s="132"/>
      <c r="F25" s="131" t="s">
        <v>59</v>
      </c>
      <c r="G25" s="132"/>
    </row>
    <row r="26" spans="1:8" ht="15.75" thickBot="1" x14ac:dyDescent="0.3">
      <c r="A26" s="50"/>
      <c r="B26" s="51"/>
      <c r="C26" s="51"/>
      <c r="D26" s="57"/>
      <c r="E26" s="58"/>
      <c r="F26" s="60" t="s">
        <v>14</v>
      </c>
      <c r="G26" s="61" t="s">
        <v>15</v>
      </c>
    </row>
    <row r="27" spans="1:8" ht="16.5" thickBot="1" x14ac:dyDescent="0.3">
      <c r="A27" s="52" t="s">
        <v>58</v>
      </c>
      <c r="B27" s="53"/>
      <c r="C27" s="53"/>
      <c r="D27" s="55"/>
      <c r="E27" s="59"/>
      <c r="F27" s="55">
        <v>0</v>
      </c>
      <c r="G27" s="75">
        <v>266</v>
      </c>
    </row>
    <row r="28" spans="1:8" ht="16.5" thickBot="1" x14ac:dyDescent="0.3">
      <c r="A28" s="52" t="s">
        <v>17</v>
      </c>
      <c r="B28" s="53"/>
      <c r="C28" s="53"/>
      <c r="D28" s="135"/>
      <c r="E28" s="83"/>
      <c r="F28" s="135">
        <f>G27-F27</f>
        <v>266</v>
      </c>
      <c r="G28" s="83"/>
    </row>
    <row r="29" spans="1:8" ht="19.5" thickBot="1" x14ac:dyDescent="0.3">
      <c r="A29" s="52" t="s">
        <v>1</v>
      </c>
      <c r="B29" s="53"/>
      <c r="C29" s="53"/>
      <c r="D29" s="136"/>
      <c r="E29" s="137"/>
      <c r="F29" s="136" t="str">
        <f>A9</f>
        <v>241Am</v>
      </c>
      <c r="G29" s="137"/>
    </row>
    <row r="30" spans="1:8" ht="16.5" thickBot="1" x14ac:dyDescent="0.3">
      <c r="A30" s="52" t="s">
        <v>19</v>
      </c>
      <c r="B30" s="53"/>
      <c r="C30" s="53"/>
      <c r="D30" s="138"/>
      <c r="E30" s="139"/>
      <c r="F30" s="140">
        <f>C10</f>
        <v>851.77605479724525</v>
      </c>
      <c r="G30" s="102"/>
    </row>
    <row r="31" spans="1:8" ht="16.5" thickBot="1" x14ac:dyDescent="0.3">
      <c r="A31" s="52" t="s">
        <v>20</v>
      </c>
      <c r="B31" s="53"/>
      <c r="C31" s="53"/>
      <c r="D31" s="126"/>
      <c r="E31" s="118"/>
      <c r="F31" s="127">
        <f>F28/F30</f>
        <v>0.31228865674478018</v>
      </c>
      <c r="G31" s="128"/>
    </row>
    <row r="32" spans="1:8" ht="16.5" thickBot="1" x14ac:dyDescent="0.3">
      <c r="A32" s="52" t="s">
        <v>21</v>
      </c>
      <c r="B32" s="53"/>
      <c r="C32" s="53"/>
      <c r="D32" s="133"/>
      <c r="E32" s="134"/>
      <c r="F32" s="129" t="s">
        <v>70</v>
      </c>
      <c r="G32" s="130"/>
    </row>
    <row r="33" spans="1:7" ht="15.75" thickBot="1" x14ac:dyDescent="0.3">
      <c r="A33" s="52" t="s">
        <v>57</v>
      </c>
      <c r="B33" s="53"/>
      <c r="C33" s="53"/>
      <c r="D33" s="56"/>
      <c r="E33" s="54"/>
      <c r="F33" s="124" t="s">
        <v>60</v>
      </c>
      <c r="G33" s="125"/>
    </row>
  </sheetData>
  <mergeCells count="34">
    <mergeCell ref="F11:G11"/>
    <mergeCell ref="A7:A8"/>
    <mergeCell ref="F7:G7"/>
    <mergeCell ref="A9:A10"/>
    <mergeCell ref="F9:G9"/>
    <mergeCell ref="A5:A6"/>
    <mergeCell ref="F5:G5"/>
    <mergeCell ref="F22:G22"/>
    <mergeCell ref="D19:E19"/>
    <mergeCell ref="F19:G19"/>
    <mergeCell ref="D20:E20"/>
    <mergeCell ref="F20:G20"/>
    <mergeCell ref="D21:E21"/>
    <mergeCell ref="F21:G21"/>
    <mergeCell ref="D17:E17"/>
    <mergeCell ref="F17:G17"/>
    <mergeCell ref="D14:E14"/>
    <mergeCell ref="F14:G14"/>
    <mergeCell ref="D18:E18"/>
    <mergeCell ref="F18:G18"/>
    <mergeCell ref="D11:E11"/>
    <mergeCell ref="F33:G33"/>
    <mergeCell ref="D31:E31"/>
    <mergeCell ref="F31:G31"/>
    <mergeCell ref="F32:G32"/>
    <mergeCell ref="D25:E25"/>
    <mergeCell ref="F25:G25"/>
    <mergeCell ref="D32:E32"/>
    <mergeCell ref="D28:E28"/>
    <mergeCell ref="F28:G28"/>
    <mergeCell ref="D29:E29"/>
    <mergeCell ref="F29:G29"/>
    <mergeCell ref="D30:E30"/>
    <mergeCell ref="F30:G3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Авто</vt:lpstr>
      <vt:lpstr>Пеш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2023-07-14T10:56:49Z</dcterms:modified>
</cp:coreProperties>
</file>